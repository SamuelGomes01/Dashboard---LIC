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amuel Gomes\Desktop\Dashboard - LIC\Web app\"/>
    </mc:Choice>
  </mc:AlternateContent>
  <xr:revisionPtr revIDLastSave="0" documentId="8_{EC2FBEFA-4566-4ECE-8479-E7D68F0B9C6A}" xr6:coauthVersionLast="47" xr6:coauthVersionMax="47" xr10:uidLastSave="{00000000-0000-0000-0000-000000000000}"/>
  <bookViews>
    <workbookView xWindow="-20610" yWindow="4440" windowWidth="20730" windowHeight="11160" tabRatio="500" xr2:uid="{00000000-000D-0000-FFFF-FFFF00000000}"/>
  </bookViews>
  <sheets>
    <sheet name="📋 Instruções" sheetId="1" r:id="rId1"/>
    <sheet name="Matriz de Pontuação" sheetId="2" r:id="rId2"/>
    <sheet name="📊 Capacidade" sheetId="3" r:id="rId3"/>
    <sheet name="🏛 Processos" sheetId="4" r:id="rId4"/>
    <sheet name="🗓 Etapas" sheetId="5" r:id="rId5"/>
    <sheet name="Prioridades GUT" sheetId="6" r:id="rId6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6" l="1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G24" i="3"/>
  <c r="G23" i="3"/>
  <c r="G22" i="3"/>
  <c r="G21" i="3"/>
  <c r="G20" i="3"/>
  <c r="G19" i="3"/>
  <c r="G18" i="3"/>
  <c r="G17" i="3"/>
  <c r="E10" i="3"/>
  <c r="B10" i="3"/>
  <c r="C9" i="3"/>
  <c r="D9" i="3" s="1"/>
  <c r="C8" i="3"/>
  <c r="D8" i="3" s="1"/>
  <c r="D7" i="3"/>
  <c r="F7" i="3" s="1"/>
  <c r="C7" i="3"/>
  <c r="G6" i="3"/>
  <c r="F6" i="3"/>
  <c r="D6" i="3"/>
  <c r="D10" i="3" s="1"/>
  <c r="C6" i="3"/>
  <c r="C10" i="3" s="1"/>
  <c r="C13" i="3" l="1"/>
  <c r="B13" i="3"/>
  <c r="G10" i="3"/>
  <c r="D13" i="3"/>
  <c r="F10" i="3"/>
  <c r="H9" i="3"/>
  <c r="G9" i="3"/>
  <c r="F9" i="3"/>
  <c r="H8" i="3"/>
  <c r="G8" i="3"/>
  <c r="F8" i="3"/>
  <c r="H6" i="3"/>
  <c r="G7" i="3"/>
  <c r="H7" i="3"/>
</calcChain>
</file>

<file path=xl/sharedStrings.xml><?xml version="1.0" encoding="utf-8"?>
<sst xmlns="http://schemas.openxmlformats.org/spreadsheetml/2006/main" count="1079" uniqueCount="366">
  <si>
    <t>📋  MANUAL DE USO — PAINEL SEL / CPII</t>
  </si>
  <si>
    <t>VISÃO GERAL</t>
  </si>
  <si>
    <t>O que é este arquivo?</t>
  </si>
  <si>
    <t>Esta planilha é a fonte de dados do Painel de Cronograma do SEL (Google Apps Script). Cada aba tem uma função específica. Edite somente as células marcadas com ◄ EDITAR. O painel lê os dados automaticamente via trigger diário (5h–6h) e pelo botão «Atualizar» no painel.</t>
  </si>
  <si>
    <t>ABAS E FUNÇÕES</t>
  </si>
  <si>
    <t>📋 Instruções</t>
  </si>
  <si>
    <t>Este manual. Não edite.</t>
  </si>
  <si>
    <t>⚖️ Matriz de Pontuação</t>
  </si>
  <si>
    <t>Critérios de complexidade (Portaria 638/2026). Editável pela chefia se os pesos mudarem.</t>
  </si>
  <si>
    <t>📊 Capacidade</t>
  </si>
  <si>
    <t>Registre os processos ativos de cada servidor e edite a coluna «Outros (fixo) ◄ EDITAR». O painel calcula a capacidade automaticamente.</t>
  </si>
  <si>
    <t>🏛 Processos</t>
  </si>
  <si>
    <t>Um processo por linha. Edite: StatusProcesso ◄ EDITAR, D0Inicio ◄ EDITAR, Modalidade, Objeto.</t>
  </si>
  <si>
    <t>🗓 Etapas</t>
  </si>
  <si>
    <t>Uma etapa por linha. Edite: DataRealizacao◄ EDITAR, MotivoAtraso ◄ EDITAR, StatusEtapa ◄ EDITAR.</t>
  </si>
  <si>
    <t>Prioridades GUT</t>
  </si>
  <si>
    <t>Matriz G×U×T para controle interno da chefia. Não aparece no painel público.</t>
  </si>
  <si>
    <t>FLUXO DE REGISTRO DE ATRASO</t>
  </si>
  <si>
    <t>Passo 1</t>
  </si>
  <si>
    <t>Na aba 🗓 Etapas, localize a etapa atrasada.</t>
  </si>
  <si>
    <t>Passo 2</t>
  </si>
  <si>
    <t>Preencha a coluna «DataRealizacao◄ EDITAR» com a data real de conclusão (se concluída) ou deixe em branco.</t>
  </si>
  <si>
    <t>Passo 3</t>
  </si>
  <si>
    <t>Em «StatusEtapa ◄ EDITAR» escolha: Em andamento | Concluída | Aguardando requisitante | Paralisado.</t>
  </si>
  <si>
    <t>Passo 4</t>
  </si>
  <si>
    <t>Se Status = «Aguardando requisitante» ou «Paralisado», preencha «MotivoAtraso ◄ EDITAR» (max. ~200 caracteres no tooltip).</t>
  </si>
  <si>
    <t>Passo 5</t>
  </si>
  <si>
    <t>O painel recalcula automaticamente todas as datas seguintes em cascata (dias úteis, Portaria 638/2026).</t>
  </si>
  <si>
    <t>PRAZOS PORTARIA 638/2026 (dias úteis)</t>
  </si>
  <si>
    <t>Designação da equipe</t>
  </si>
  <si>
    <t>5 dias</t>
  </si>
  <si>
    <t>ETP + Mapa de Riscos + Pesquisa de Preços</t>
  </si>
  <si>
    <t>45 dias</t>
  </si>
  <si>
    <t>Minuta do Termo de Referência</t>
  </si>
  <si>
    <t>10 dias</t>
  </si>
  <si>
    <t>IRP — Intenção de Registro de Preços (se SRP)</t>
  </si>
  <si>
    <t>15 dias</t>
  </si>
  <si>
    <t>Adequações finais</t>
  </si>
  <si>
    <t>Versão final do TR</t>
  </si>
  <si>
    <t>Envio ao SEL</t>
  </si>
  <si>
    <t>3 dias</t>
  </si>
  <si>
    <t>Fase Externa — Pregão Eletrônico</t>
  </si>
  <si>
    <t>90 dias</t>
  </si>
  <si>
    <t>Fase Externa — Dispensa/Contratação Direta</t>
  </si>
  <si>
    <t>30 dias</t>
  </si>
  <si>
    <t>Fase Externa — Concorrência</t>
  </si>
  <si>
    <t>100 dias</t>
  </si>
  <si>
    <t>MENU NO GOOGLE SHEETS</t>
  </si>
  <si>
    <t>📊 Painel SEL → Abrir Painel</t>
  </si>
  <si>
    <t>Abre o dashboard em nova aba.</t>
  </si>
  <si>
    <t>📊 Painel SEL → Novo Processo</t>
  </si>
  <si>
    <t>Insere processo + 8 etapas padrão via formulário guiado. ID gerado automaticamente.</t>
  </si>
  <si>
    <t>📊 Painel SEL → 🔔 Detector de Atraso → Instalar</t>
  </si>
  <si>
    <t>Instala trigger que pede motivo ao registrar DataRealizacao ou Status de atraso.</t>
  </si>
  <si>
    <t>📅 Preencher datas vazias com hoje</t>
  </si>
  <si>
    <t>Ativa o seletor de calendário nas células de DataRealizacao ainda sem valor.</t>
  </si>
  <si>
    <t>ATENÇÃO — NOMES DE COLUNAS</t>
  </si>
  <si>
    <t>DataRealizacao◄ EDITAR</t>
  </si>
  <si>
    <t>SEM espaço antes do ◄. Não renomear.</t>
  </si>
  <si>
    <t>MotivoAtraso ◄ EDITAR</t>
  </si>
  <si>
    <t>COM espaço antes do ◄. Não renomear.</t>
  </si>
  <si>
    <t>StatusEtapa ◄ EDITAR</t>
  </si>
  <si>
    <t>MATRIZ DE COMPLEXIDADE — DISTRIBUIÇÃO DE CARGA DO SEL / CPII</t>
  </si>
  <si>
    <t>Setor de Licitações — PROAD / Reitoria   |   Portaria 638/2026 + Lei 14.133/2021 + Manual POP CPII v1.0   |   Versão 3</t>
  </si>
  <si>
    <t>Fator</t>
  </si>
  <si>
    <t>Pontos</t>
  </si>
  <si>
    <t>Fundamentação Legal</t>
  </si>
  <si>
    <t>Observação</t>
  </si>
  <si>
    <t>1. Modalidade</t>
  </si>
  <si>
    <t>Dispensa Eletrônica (art. 75)</t>
  </si>
  <si>
    <t>1</t>
  </si>
  <si>
    <t>IN SEGES/ME nº 67/2021 — rito célere</t>
  </si>
  <si>
    <t>Instrução enxuta; fluxo rápido</t>
  </si>
  <si>
    <t>Inexigibilidade (art. 74)</t>
  </si>
  <si>
    <t>2</t>
  </si>
  <si>
    <t>Lei 14.133/2021, art. 74 — inviabilidade de competição</t>
  </si>
  <si>
    <t>Instrução jurídica densa; sem sessão</t>
  </si>
  <si>
    <t>Pregão / Concorrência</t>
  </si>
  <si>
    <t>3</t>
  </si>
  <si>
    <t>Lei 14.133/2021 — rito completo fase interna + externa</t>
  </si>
  <si>
    <t>Máxima carga processual padrão</t>
  </si>
  <si>
    <t>1.1 Fase Interna — adicionais de complexidade</t>
  </si>
  <si>
    <t>Natureza do Objeto</t>
  </si>
  <si>
    <t xml:space="preserve">     Bens e Serviços Comuns</t>
  </si>
  <si>
    <t>+0</t>
  </si>
  <si>
    <t>Linha de base — objetos padronizados de mercado</t>
  </si>
  <si>
    <t>Sem adicional</t>
  </si>
  <si>
    <t xml:space="preserve">     Solução de TIC</t>
  </si>
  <si>
    <t>+1</t>
  </si>
  <si>
    <t>IN SGD/ME nº 94/2022 — alinhamento com DTI</t>
  </si>
  <si>
    <t>Especificações técnicas detalhadas</t>
  </si>
  <si>
    <t xml:space="preserve">     Bens e Serviços Especiais</t>
  </si>
  <si>
    <t>+2</t>
  </si>
  <si>
    <t>IN SEGES/ME nº 81/2022 — TR com maior detalhamento</t>
  </si>
  <si>
    <t>Análise criteriosa de propostas</t>
  </si>
  <si>
    <t xml:space="preserve">     Mão de Obra Dedicada</t>
  </si>
  <si>
    <t>+3</t>
  </si>
  <si>
    <t>IN SEGES/ME nº 98/2022 + IN 05/2017 + acórdãos TCU</t>
  </si>
  <si>
    <t>Planilhas de custo + convenções coletivas</t>
  </si>
  <si>
    <t xml:space="preserve">     Obras e Engenharia (SINAPI)</t>
  </si>
  <si>
    <t>Lei 14.133/2021, art. 46 + Decreto 7.983/2013</t>
  </si>
  <si>
    <t>Projetos, orçamentos + fiscalização DECOF-SEENG</t>
  </si>
  <si>
    <t>Processo Intercampi (2–5 unidades)</t>
  </si>
  <si>
    <t>Portaria 638/2026, art. 2º — coordenação entre unidades</t>
  </si>
  <si>
    <t>Múltiplos requisitantes num único processo</t>
  </si>
  <si>
    <t>Processo Compartilhado (mais de 5 unidades)</t>
  </si>
  <si>
    <t>Portaria 638/2026, art. 2º — alta complexidade de coordenação</t>
  </si>
  <si>
    <t>Maior volume de alinhamentos e validações</t>
  </si>
  <si>
    <t>IRP / SRP a Instruir</t>
  </si>
  <si>
    <t>Decreto 11.462/2023 — lançamento, divulgação e consolidação de intenções</t>
  </si>
  <si>
    <t>Adicional conforme volume de itens cadastrados</t>
  </si>
  <si>
    <t xml:space="preserve">     Até 10 itens</t>
  </si>
  <si>
    <t>+0,5</t>
  </si>
  <si>
    <t>Volume reduzido — instrução simplificada</t>
  </si>
  <si>
    <t xml:space="preserve">     Até 25 itens</t>
  </si>
  <si>
    <t>Volume moderado</t>
  </si>
  <si>
    <t xml:space="preserve">     Até 50 itens</t>
  </si>
  <si>
    <t>+1,5</t>
  </si>
  <si>
    <t>Volume relevante — maior esforço de consolidação</t>
  </si>
  <si>
    <t xml:space="preserve">     100 itens ou mais</t>
  </si>
  <si>
    <t>Volume alto — dedicação intensiva na fase de intenções</t>
  </si>
  <si>
    <t>1.2 Fase Externa — adicionais operacionais</t>
  </si>
  <si>
    <t>Sessão</t>
  </si>
  <si>
    <t xml:space="preserve">     Sem sessão pública</t>
  </si>
  <si>
    <t>Inexigibilidade ou dispensas sem disputa online</t>
  </si>
  <si>
    <t>Nenhum adicional operacional</t>
  </si>
  <si>
    <t xml:space="preserve">     Sessão de Dispensa Eletrônica</t>
  </si>
  <si>
    <t>IN SEGES/ME nº 67/2021 — dedicação exclusiva na sessão</t>
  </si>
  <si>
    <t>Sessão rápida mas exige atenção exclusiva</t>
  </si>
  <si>
    <t xml:space="preserve">     Sessão de Pregão / Concorrência</t>
  </si>
  <si>
    <t>Lei 14.133/2021, arts. 17–22 — gestão de lances e documentos</t>
  </si>
  <si>
    <t>Etapa crítica; lances, chat e docs em tempo real</t>
  </si>
  <si>
    <t>Linha de base — análise de propostas padronizadas</t>
  </si>
  <si>
    <t>IN SEGES/ME nº 81/2022 — análise mais criteriosa de propostas</t>
  </si>
  <si>
    <t>Habilitação e julgamento mais complexos</t>
  </si>
  <si>
    <t>Análise de planilhas de custo e documentos trabalhistas</t>
  </si>
  <si>
    <t>Habilitação trabalhista + planilhas de proposta</t>
  </si>
  <si>
    <t>Grupos</t>
  </si>
  <si>
    <t xml:space="preserve">     Até 4 grupos</t>
  </si>
  <si>
    <t>Volume gerenciável de grupos a analisar</t>
  </si>
  <si>
    <t>Cada grupo pode eliminar vários itens</t>
  </si>
  <si>
    <t xml:space="preserve">     5 grupos ou mais</t>
  </si>
  <si>
    <t>Alto volume de grupos — análise e julgamento intensivos</t>
  </si>
  <si>
    <t>Exige controle detalhado por grupo</t>
  </si>
  <si>
    <t>2. Outros — carga administrativa do servidor</t>
  </si>
  <si>
    <t>Atribuição de Chefia</t>
  </si>
  <si>
    <t>Reduz diretamente a capacidade disponível do servidor</t>
  </si>
  <si>
    <t>Computado antes dos processos; carga permanente</t>
  </si>
  <si>
    <t>Participação em GT</t>
  </si>
  <si>
    <t>Grupo de Trabalho com dedicação paralela às licitações</t>
  </si>
  <si>
    <t>Pode coincidir com períodos de sessão</t>
  </si>
  <si>
    <t>Capacitação</t>
  </si>
  <si>
    <t>Treinamentos, cursos ou eventos com dedicação parcial</t>
  </si>
  <si>
    <t>Reduz disponibilidade no período</t>
  </si>
  <si>
    <t>Manutenção de painel / sistemas</t>
  </si>
  <si>
    <t>Atividades de suporte a ferramentas institucionais (ex: Power BI, SEI)</t>
  </si>
  <si>
    <t>Atividade não rotineira mas recorrente</t>
  </si>
  <si>
    <t>Teto máximo por processo / servidor</t>
  </si>
  <si>
    <t>Capacidade total do setor: n° servidores × 10 pts  |  Ex: SEL Reitoria (4 serv.) = 40 pts</t>
  </si>
  <si>
    <t>⚠  Segregação de funções (Portaria 638/2026, art. 42): o servidor da fase interna NÃO pode conduzir a fase externa do mesmo processo. Os adicionais de 1.1 e 1.2 são sempre atribuídos a servidores diferentes.</t>
  </si>
  <si>
    <t>ℹ  Os critérios 1.1 e 1.2 são cumulativos entre si. O teto de 10 pts aplica-se ao total do processo (modalidade + fase interna + fase externa). Processos que ultrapassem o teto devem ser redistribuídos.</t>
  </si>
  <si>
    <t>ℹ  O critério 2 (Outros) é fixo por servidor e reduz sua capacidade disponível antes da atribuição de qualquer processo. Aplicável a todos os portes de setor; em campus com 1 servidor, considerar uso opcional.</t>
  </si>
  <si>
    <t>PAINEL DE CAPACIDADE — SETOR DE LICITAÇÕES (SEL / CPII)</t>
  </si>
  <si>
    <t>Teto individual: 10 pts  |  Capacidade total = nº servidores × 10  |  Edite a coluna "Outros (fixo)" e o registro de processos abaixo conforme mudanças</t>
  </si>
  <si>
    <t>RESUMO POR SERVIDOR</t>
  </si>
  <si>
    <t>Servidor</t>
  </si>
  <si>
    <t>Outros (fixo) ◄ EDITAR</t>
  </si>
  <si>
    <t>Processos (soma)</t>
  </si>
  <si>
    <t>Total</t>
  </si>
  <si>
    <t>Teto</t>
  </si>
  <si>
    <t>Saldo</t>
  </si>
  <si>
    <t>% Ocupado</t>
  </si>
  <si>
    <t>Status</t>
  </si>
  <si>
    <t>AMANDA</t>
  </si>
  <si>
    <t>BEATRIZ</t>
  </si>
  <si>
    <t>BRUNO</t>
  </si>
  <si>
    <t>SAMUEL</t>
  </si>
  <si>
    <t>TOTAL DO SETOR</t>
  </si>
  <si>
    <t>STATUS DE CAPACIDADE DO SETOR</t>
  </si>
  <si>
    <t>Ocupação do Setor</t>
  </si>
  <si>
    <t>REGISTRO DE PROCESSOS ATIVOS — Edite as colunas de pontuação conforme a Matriz de Complexidade</t>
  </si>
  <si>
    <t>Servidor ◄ EDITAR</t>
  </si>
  <si>
    <t>Processo / Objeto ◄ EDITAR</t>
  </si>
  <si>
    <t>Modalidade
(pts) ◄</t>
  </si>
  <si>
    <t>Natureza
(pts) ◄</t>
  </si>
  <si>
    <t>Sessão
(pts) ◄</t>
  </si>
  <si>
    <t>Outros
(pts) ◄</t>
  </si>
  <si>
    <t>Fase Atual ◄ EDITAR</t>
  </si>
  <si>
    <t>Dispensa – Bens e Serviços</t>
  </si>
  <si>
    <t>Fase Externa</t>
  </si>
  <si>
    <t>Pregão – Bens e Serviços Comuns</t>
  </si>
  <si>
    <t>Sessão Pregão</t>
  </si>
  <si>
    <t>Fase Interna</t>
  </si>
  <si>
    <t>Pregão – Mão de Obra Dedicada</t>
  </si>
  <si>
    <t>MO Ded. = +3 natureza</t>
  </si>
  <si>
    <t>Abastecimento água/esgoto – S.Cristóvão</t>
  </si>
  <si>
    <t>Reprodução e encadernação</t>
  </si>
  <si>
    <t>Material Bibliográfico</t>
  </si>
  <si>
    <t>LEGENDA DE STATUS DE CAPACIDADE DO SETOR</t>
  </si>
  <si>
    <t>🟢 Disponível</t>
  </si>
  <si>
    <t>&lt; 60%</t>
  </si>
  <si>
    <t>Setor com folga — pode absorver novos processos normalmente</t>
  </si>
  <si>
    <t>🟡 Limitada</t>
  </si>
  <si>
    <t>60–89%</t>
  </si>
  <si>
    <t>Capacidade reduzida — avaliar antes de aceitar novos processos</t>
  </si>
  <si>
    <t>🔴 Máxima</t>
  </si>
  <si>
    <t>≥ 90%</t>
  </si>
  <si>
    <t>Setor no limite — priorizar conclusão de processos em andamento</t>
  </si>
  <si>
    <t>🏛  PROCESSOS DE CONTRATAÇÃO — CPII 2026</t>
  </si>
  <si>
    <t>⛔  Esta aba é somente leitura. Para adicionar processos, leia as instruções na aba 📋 Instruções.</t>
  </si>
  <si>
    <t>ProcessoID</t>
  </si>
  <si>
    <t>N° SUAP</t>
  </si>
  <si>
    <t>Objeto</t>
  </si>
  <si>
    <t>Modalidade</t>
  </si>
  <si>
    <t>D0 (Data Abertura)</t>
  </si>
  <si>
    <t>Link SUAP</t>
  </si>
  <si>
    <t>Tem IRP?</t>
  </si>
  <si>
    <t>SEL-2026-001</t>
  </si>
  <si>
    <t>23040.001002/2026-01</t>
  </si>
  <si>
    <t>Aquisição de materiais e equipamentos para práticas esportivas</t>
  </si>
  <si>
    <t>Pregão Eletrônico</t>
  </si>
  <si>
    <t>15/01/2026</t>
  </si>
  <si>
    <t>https://suap.cp2.g12.br/processo_eletronico/processo/108448/</t>
  </si>
  <si>
    <t>Sim</t>
  </si>
  <si>
    <t>Em andamento</t>
  </si>
  <si>
    <t>SEL-2026-002</t>
  </si>
  <si>
    <t>23040.001003/2026-02</t>
  </si>
  <si>
    <t>Aquisição de Gêneros Alimentícios</t>
  </si>
  <si>
    <t>20/01/2026</t>
  </si>
  <si>
    <t>https://suap.cp2.g12.br/processo_eletronico/processo/108268/</t>
  </si>
  <si>
    <t>Não</t>
  </si>
  <si>
    <t>SEL-2026-003</t>
  </si>
  <si>
    <t>Serviços de Transportes Interestadual</t>
  </si>
  <si>
    <t>01/04/2026</t>
  </si>
  <si>
    <t>Planejamento</t>
  </si>
  <si>
    <t>SEL-2026-004</t>
  </si>
  <si>
    <t>23040.007632/2025-90</t>
  </si>
  <si>
    <t>Aquisição de licenciamento Microsoft para servidores de rede</t>
  </si>
  <si>
    <t>https://suap.cp2.g12.br/processo_eletronico/processo/104385/</t>
  </si>
  <si>
    <t>SEL-2026-005</t>
  </si>
  <si>
    <t>23040.003024/2023-44</t>
  </si>
  <si>
    <t>Contratação de serviços de vigilância</t>
  </si>
  <si>
    <t>https://suap.cp2.g12.br/processo_eletronico/processo/62011/</t>
  </si>
  <si>
    <t>SEL-2026-006</t>
  </si>
  <si>
    <t>23040.001004/2026-03</t>
  </si>
  <si>
    <t>Contratação de empresa especializada em consultoria e assessoria de engenharia</t>
  </si>
  <si>
    <t>01/05/2026</t>
  </si>
  <si>
    <t>SEL-2026-007</t>
  </si>
  <si>
    <t>Contratação de serviços profissionais de tradução e revisão linguística</t>
  </si>
  <si>
    <t>Contratação Direta</t>
  </si>
  <si>
    <t>15/05/2026</t>
  </si>
  <si>
    <t>SEL-2026-008</t>
  </si>
  <si>
    <t>Contratação de empresa especializada para levantamento de dados documentais de imóveis</t>
  </si>
  <si>
    <t>01/06/2026</t>
  </si>
  <si>
    <t>SEL-2026-009</t>
  </si>
  <si>
    <t>Contratação de empresa especializada na prestação de serviços de ambulância do tipo UTI Móvel</t>
  </si>
  <si>
    <t>01/03/2026</t>
  </si>
  <si>
    <t>SEL-2026-010</t>
  </si>
  <si>
    <t>23040.007400/2025-31</t>
  </si>
  <si>
    <t>Abastecimento de água e coleta de esgoto sanitário para o Complexo de São Cristóvão</t>
  </si>
  <si>
    <t>01/02/2026</t>
  </si>
  <si>
    <t>https://suap.cp2.g12.br/processo_eletronico/processo/106630/</t>
  </si>
  <si>
    <t>SEL-2026-011</t>
  </si>
  <si>
    <t>23040.004667/2025-77</t>
  </si>
  <si>
    <t>Contratação de empresa para realização de Medição de Decibéis</t>
  </si>
  <si>
    <t>15/02/2026</t>
  </si>
  <si>
    <t>https://suap.cp2.g12.br/accounts/login/?next=/processo_eletronico/processo/96103/</t>
  </si>
  <si>
    <t>SEL-2026-012</t>
  </si>
  <si>
    <t>23040.003009/2023-04</t>
  </si>
  <si>
    <t>Aquisição de Material Bibliográfico</t>
  </si>
  <si>
    <t>05/01/2026</t>
  </si>
  <si>
    <t>https://suap.cp2.g12.br/processo_eletronico/processo/61995/</t>
  </si>
  <si>
    <t>SEL-2026-013</t>
  </si>
  <si>
    <t>23040.003393/2025-07</t>
  </si>
  <si>
    <t>Aquisição de materiais gráficos e personalizados</t>
  </si>
  <si>
    <t>https://suap.cp2.g12.br/processo_eletronico/processo/94956/</t>
  </si>
  <si>
    <t>SEL-2026-014</t>
  </si>
  <si>
    <t>23040.005462/2025-17</t>
  </si>
  <si>
    <t>Contratação de serviços de iluminação e sonorização</t>
  </si>
  <si>
    <t>https://suap.cp2.g12.br/processo_eletronico/processo/98896/</t>
  </si>
  <si>
    <t>SEL-2026-015</t>
  </si>
  <si>
    <t>23040.001008/2026-07</t>
  </si>
  <si>
    <t>Serviços de reprodução e encadernação de livros e apostilas</t>
  </si>
  <si>
    <t>https://suap.cp2.g12.br/processo_eletronico/processo/108883/</t>
  </si>
  <si>
    <t xml:space="preserve">             </t>
  </si>
  <si>
    <t>🗓  ETAPAS DOS PROCESSOS — Edite somente as colunas marcadas com ◄ EDITAR</t>
  </si>
  <si>
    <t>Ord.</t>
  </si>
  <si>
    <t>Etapa</t>
  </si>
  <si>
    <t>Fase</t>
  </si>
  <si>
    <t>Agente Responsável</t>
  </si>
  <si>
    <t>Prazo (dias)</t>
  </si>
  <si>
    <t xml:space="preserve">  N° SUAP: 23040.001002/2026-01   |   Aquisição de materiais e equipamentos para práticas esportivas</t>
  </si>
  <si>
    <t>Interna</t>
  </si>
  <si>
    <t>DECOF/DIAD</t>
  </si>
  <si>
    <t>Concluída</t>
  </si>
  <si>
    <t>Equipe de planejamento</t>
  </si>
  <si>
    <t>O atraso na instrução do processo decorre da ausência, até o momento, do levantamento das demandas da Reitoria por parte do setor requisitante. Não foi possível dar prosseguimento às etapas subsequentes, uma vez que tais informações são imprescindíveis para a conclusão do Estudo Técnico Preliminar, incluindo a quantificação das necessidades e a estimativa de custos. Dessa forma, a continuidade regular do processo permanece condicionada ao recebimento e à consolidação dessas demandas, o que justifica o atraso verificado.</t>
  </si>
  <si>
    <t>IRP — Intenção de Registro de Preços</t>
  </si>
  <si>
    <t>SEL/SEPMA</t>
  </si>
  <si>
    <t>Aguardando requisitante</t>
  </si>
  <si>
    <t>Não iniciada</t>
  </si>
  <si>
    <t>Envio ao SEL/SEPMA</t>
  </si>
  <si>
    <t>Fase externa — Pregão Eletrônico</t>
  </si>
  <si>
    <t>Externa</t>
  </si>
  <si>
    <t>Assinatura contrato / Ata (ARP)</t>
  </si>
  <si>
    <t>Contratual</t>
  </si>
  <si>
    <t>Gestão contratual</t>
  </si>
  <si>
    <t xml:space="preserve">  N° SUAP: 23040.001003/2026-02   |   Aquisição de Gêneros Alimentícios</t>
  </si>
  <si>
    <t xml:space="preserve">  N° SUAP: —   |   Serviços de Transportes Interestadual</t>
  </si>
  <si>
    <t>N° SUAP: 23040.007632/2025-90   |   Aquisição de licenciamento Microsoft para servidores de rede</t>
  </si>
  <si>
    <t>Processo enviado à DTI para confirmação da continuidade dos procedimentos da compra</t>
  </si>
  <si>
    <t xml:space="preserve">  N° SUAP: —   |   Contratação de serviços de vigilância</t>
  </si>
  <si>
    <t>O responsável técnico incluiu primeiramente a segunda etapa, foi necessário remeter o processo e posteriormente solicitar a designação da equipe.</t>
  </si>
  <si>
    <t>O processo ficou parado na caixa, apesar de diversos avisos sobre o atraso.</t>
  </si>
  <si>
    <t>O termo de referência foi realizado com uma minuta ultrapassada e precisou ser refeito.</t>
  </si>
  <si>
    <t xml:space="preserve">  N° SUAP: 23040.001004/2026-03   |   Contratação de empresa especializada em consultoria e assessoria de engenharia</t>
  </si>
  <si>
    <t xml:space="preserve">  N° SUAP: —   |   Contratação de serviços profissionais de tradução e revisão linguística</t>
  </si>
  <si>
    <t>Fase externa — Contratação Direta</t>
  </si>
  <si>
    <t xml:space="preserve">  N° SUAP: —   |   Contratação de empresa especializada para levantamento de dados documentais de imóveis</t>
  </si>
  <si>
    <t xml:space="preserve">  N° SUAP: —   |   Contratação de empresa especializada na prestação de serviços de ambulância do tipo UTI Móvel</t>
  </si>
  <si>
    <t xml:space="preserve">  N° SUAP: 23040.007400/2025-31   |   Abastecimento de água e coleta de esgoto sanitário para o Complexo de São Cristóvão</t>
  </si>
  <si>
    <t>Setor responsavel não recebeu o processo e por consequência não foi indicado servidor responsável</t>
  </si>
  <si>
    <t>N° SUAP: 23040.004667/2025-77   |   Contratação de empresa para realização de Medição de Decibéis</t>
  </si>
  <si>
    <t>Não se aplica</t>
  </si>
  <si>
    <t xml:space="preserve">  N° SUAP: 23040.003009/2023-04   |   Aquisição de Material Bibliográfico</t>
  </si>
  <si>
    <t>N° SUAP: 23040.003393/2025-07   |   Aquisição de materiais gráficos e personalizados</t>
  </si>
  <si>
    <t>Setor requisitante estava com dificuldades para fundamentar o ETP e Pesquisa de Preços</t>
  </si>
  <si>
    <t>Algumas unidades do CPII perderam o prazo e se equivocaram no cadastro de suas demandas reais no SIASGNET</t>
  </si>
  <si>
    <t>Foi necessário a reformulação da Pesquisa de Preços e alguns ajustes no ETP e TR por solicitação do TCU</t>
  </si>
  <si>
    <t xml:space="preserve">  N° SUAP: 23040.001007/2026-06   |   Contratação de sistema de sonorização e filmagem para transmissão de reuniões e eventos</t>
  </si>
  <si>
    <t xml:space="preserve">  N° SUAP: 23040.001008/2026-07   |   Serviços de reprodução e encadernação de livros e apostilas</t>
  </si>
  <si>
    <t>Setor requisitante demorou a indicar o servidor</t>
  </si>
  <si>
    <t>⚖️  MATRIZ GUT — PRIORIZAÇÃO INTERNA DE PROCESSOS</t>
  </si>
  <si>
    <t>USO INTERNO DA CHEFIA — Não publicado no painel público  |  G = Gravidade  |  U = Urgência  |  T = Tendência  |  Escala 1–5  |  Prioridade = G × U × T</t>
  </si>
  <si>
    <t>Objeto da Contratação</t>
  </si>
  <si>
    <t>G
Gravidade</t>
  </si>
  <si>
    <t>U
Urgência</t>
  </si>
  <si>
    <t>T
Tendência</t>
  </si>
  <si>
    <t>Total
(G×U×T)</t>
  </si>
  <si>
    <t>Prioridade</t>
  </si>
  <si>
    <t>🟡 Média</t>
  </si>
  <si>
    <t>Abastecimento de água e coleta de esgoto – Complexo São Cristóvão</t>
  </si>
  <si>
    <t>Contratação de empresa especializada – ambulância UTI Móvel</t>
  </si>
  <si>
    <t>🟢 Baixa</t>
  </si>
  <si>
    <t>Contratação de empresa especializada em consultoria de engenharia</t>
  </si>
  <si>
    <t>Contratação – levantamento de dados documentais de imóveis</t>
  </si>
  <si>
    <t>ESCALA DE REFERÊNCIA (1–5)</t>
  </si>
  <si>
    <t>Nota</t>
  </si>
  <si>
    <t>Gravidade</t>
  </si>
  <si>
    <t>Urgência</t>
  </si>
  <si>
    <t>Tendência</t>
  </si>
  <si>
    <t>Impacto mínimo</t>
  </si>
  <si>
    <t>Pode esperar</t>
  </si>
  <si>
    <t>Não tende a piorar</t>
  </si>
  <si>
    <t>Baixo impacto</t>
  </si>
  <si>
    <t>Pouco urgente</t>
  </si>
  <si>
    <t>Piora lenta</t>
  </si>
  <si>
    <t>Impacto moderado</t>
  </si>
  <si>
    <t>Precisa atenção</t>
  </si>
  <si>
    <t>Pode agravar</t>
  </si>
  <si>
    <t>Alto impacto</t>
  </si>
  <si>
    <t>Muito urgente</t>
  </si>
  <si>
    <t>Vai piorar rápido</t>
  </si>
  <si>
    <t>Crítico</t>
  </si>
  <si>
    <t>Imediato</t>
  </si>
  <si>
    <t>Consequência grave se não tratado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</si>
</sst>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m/d/yyyy\ h:mm:ss"/>
    <numFmt numFmtId="166" formatCode="d/m/yyyy"/>
  </numFmts>
  <fonts count="38" x14ac:knownFonts="1">
    <font>
      <sz val="11"/>
      <color theme="1"/>
      <name val="Calibri"/>
      <family val="2"/>
      <charset val="1"/>
    </font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A3A5C"/>
      <name val="Arial"/>
      <charset val="1"/>
    </font>
    <font>
      <sz val="9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i/>
      <sz val="9"/>
      <color rgb="FF000000"/>
      <name val="Arial"/>
      <charset val="1"/>
    </font>
    <font>
      <sz val="10"/>
      <color rgb="FF00695C"/>
      <name val="Arial"/>
      <charset val="1"/>
    </font>
    <font>
      <b/>
      <sz val="11"/>
      <color rgb="FF00695C"/>
      <name val="Arial"/>
      <charset val="1"/>
    </font>
    <font>
      <i/>
      <sz val="9"/>
      <color rgb="FF00695C"/>
      <name val="Arial"/>
      <charset val="1"/>
    </font>
    <font>
      <sz val="9"/>
      <color rgb="FF00695C"/>
      <name val="Arial"/>
      <charset val="1"/>
    </font>
    <font>
      <i/>
      <sz val="10"/>
      <color rgb="FF000000"/>
      <name val="Arial"/>
      <charset val="1"/>
    </font>
    <font>
      <sz val="10"/>
      <color rgb="FFE06C00"/>
      <name val="Arial"/>
      <charset val="1"/>
    </font>
    <font>
      <b/>
      <sz val="11"/>
      <color rgb="FFE06C00"/>
      <name val="Arial"/>
      <charset val="1"/>
    </font>
    <font>
      <i/>
      <sz val="9"/>
      <color rgb="FFE06C00"/>
      <name val="Arial"/>
      <charset val="1"/>
    </font>
    <font>
      <sz val="9"/>
      <color rgb="FFE06C00"/>
      <name val="Arial"/>
      <charset val="1"/>
    </font>
    <font>
      <b/>
      <sz val="9"/>
      <color rgb="FFFFFFFF"/>
      <name val="Arial"/>
      <charset val="1"/>
    </font>
    <font>
      <b/>
      <sz val="12"/>
      <color rgb="FFFFFFFF"/>
      <name val="Arial"/>
      <charset val="1"/>
    </font>
    <font>
      <i/>
      <sz val="9"/>
      <color rgb="FF6B82A0"/>
      <name val="Calibri"/>
      <charset val="1"/>
    </font>
    <font>
      <b/>
      <sz val="10"/>
      <color rgb="FFFFFFFF"/>
      <name val="Calibri"/>
      <charset val="1"/>
    </font>
    <font>
      <b/>
      <sz val="10"/>
      <color rgb="FF1A2540"/>
      <name val="Calibri"/>
      <charset val="1"/>
    </font>
    <font>
      <sz val="10"/>
      <color rgb="FF1A2540"/>
      <name val="Calibri"/>
      <charset val="1"/>
    </font>
    <font>
      <b/>
      <sz val="10"/>
      <color rgb="FF0B1F3D"/>
      <name val="Calibri"/>
      <charset val="1"/>
    </font>
    <font>
      <b/>
      <sz val="11"/>
      <color rgb="FF0B1F3D"/>
      <name val="Calibri"/>
      <charset val="1"/>
    </font>
    <font>
      <b/>
      <sz val="9"/>
      <color rgb="FFFFFFFF"/>
      <name val="Calibri"/>
      <charset val="1"/>
    </font>
    <font>
      <b/>
      <sz val="10"/>
      <color rgb="FF1E6E42"/>
      <name val="Calibri"/>
      <charset val="1"/>
    </font>
    <font>
      <b/>
      <sz val="10"/>
      <color rgb="FF7A5900"/>
      <name val="Calibri"/>
      <charset val="1"/>
    </font>
    <font>
      <b/>
      <sz val="10"/>
      <color rgb="FF8B1C2C"/>
      <name val="Calibri"/>
      <charset val="1"/>
    </font>
    <font>
      <sz val="9"/>
      <color rgb="FF333333"/>
      <name val="Arial"/>
      <charset val="1"/>
    </font>
    <font>
      <b/>
      <sz val="9"/>
      <color rgb="FF333333"/>
      <name val="Arial"/>
      <charset val="1"/>
    </font>
    <font>
      <sz val="9"/>
      <color rgb="FF1B5E20"/>
      <name val="Arial"/>
      <charset val="1"/>
    </font>
    <font>
      <sz val="9"/>
      <color rgb="FF1A3A5C"/>
      <name val="Arial"/>
      <charset val="1"/>
    </font>
    <font>
      <sz val="9"/>
      <color rgb="FFFF8C00"/>
      <name val="Arial"/>
      <charset val="1"/>
    </font>
    <font>
      <sz val="9"/>
      <color rgb="FF666666"/>
      <name val="Arial"/>
      <charset val="1"/>
    </font>
    <font>
      <i/>
      <sz val="9"/>
      <color rgb="FF555555"/>
      <name val="Arial"/>
      <charset val="1"/>
    </font>
    <font>
      <sz val="11"/>
      <color theme="1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1A3A5C"/>
        <bgColor rgb="FF1F3864"/>
      </patternFill>
    </fill>
    <fill>
      <patternFill patternType="solid">
        <fgColor rgb="FFC9A227"/>
        <bgColor rgb="FFFF8C00"/>
      </patternFill>
    </fill>
    <fill>
      <patternFill patternType="solid">
        <fgColor rgb="FFF5F5F5"/>
        <bgColor rgb="FFF4F6FA"/>
      </patternFill>
    </fill>
    <fill>
      <patternFill patternType="solid">
        <fgColor rgb="FF1F3864"/>
        <bgColor rgb="FF1A3A5C"/>
      </patternFill>
    </fill>
    <fill>
      <patternFill patternType="solid">
        <fgColor rgb="FF404040"/>
        <bgColor rgb="FF333333"/>
      </patternFill>
    </fill>
    <fill>
      <patternFill patternType="solid">
        <fgColor rgb="FFDEEAF1"/>
        <bgColor rgb="FFE3EDF8"/>
      </patternFill>
    </fill>
    <fill>
      <patternFill patternType="solid">
        <fgColor rgb="FFE0F2F1"/>
        <bgColor rgb="FFE3EDF8"/>
      </patternFill>
    </fill>
    <fill>
      <patternFill patternType="solid">
        <fgColor rgb="FFF2F2F2"/>
        <bgColor rgb="FFF5F5F5"/>
      </patternFill>
    </fill>
    <fill>
      <patternFill patternType="solid">
        <fgColor rgb="FFFDE9D9"/>
        <bgColor rgb="FFFCE4D6"/>
      </patternFill>
    </fill>
    <fill>
      <patternFill patternType="solid">
        <fgColor rgb="FFF4F6FA"/>
        <bgColor rgb="FFF5F5F5"/>
      </patternFill>
    </fill>
    <fill>
      <patternFill patternType="solid">
        <fgColor rgb="FF1E4E8C"/>
        <bgColor rgb="FF2C5282"/>
      </patternFill>
    </fill>
    <fill>
      <patternFill patternType="solid">
        <fgColor rgb="FF2C5282"/>
        <bgColor rgb="FF2F5496"/>
      </patternFill>
    </fill>
    <fill>
      <patternFill patternType="solid">
        <fgColor rgb="FFFFFFFF"/>
        <bgColor rgb="FFFFFDF0"/>
      </patternFill>
    </fill>
    <fill>
      <patternFill patternType="solid">
        <fgColor rgb="FFFFFDE7"/>
        <bgColor rgb="FFFFFDF0"/>
      </patternFill>
    </fill>
    <fill>
      <patternFill patternType="solid">
        <fgColor rgb="FFE8F5E9"/>
        <bgColor rgb="FFE0F2F1"/>
      </patternFill>
    </fill>
    <fill>
      <patternFill patternType="solid">
        <fgColor rgb="FFE3EDF8"/>
        <bgColor rgb="FFE8F0FE"/>
      </patternFill>
    </fill>
    <fill>
      <patternFill patternType="solid">
        <fgColor rgb="FFD6F0DE"/>
        <bgColor rgb="FFD4EDDA"/>
      </patternFill>
    </fill>
    <fill>
      <patternFill patternType="solid">
        <fgColor rgb="FFFFF3CD"/>
        <bgColor rgb="FFFFF2CC"/>
      </patternFill>
    </fill>
    <fill>
      <patternFill patternType="solid">
        <fgColor rgb="FFFAD7DC"/>
        <bgColor rgb="FFFDDDE0"/>
      </patternFill>
    </fill>
    <fill>
      <patternFill patternType="solid">
        <fgColor rgb="FFE8F0FE"/>
        <bgColor rgb="FFE3EDF8"/>
      </patternFill>
    </fill>
    <fill>
      <patternFill patternType="solid">
        <fgColor rgb="FFFFF8E1"/>
        <bgColor rgb="FFFFFDE7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D0DAEA"/>
      </left>
      <right style="thin">
        <color rgb="FFD0DAEA"/>
      </right>
      <top style="thin">
        <color rgb="FFD0DAEA"/>
      </top>
      <bottom style="thin">
        <color rgb="FFD0DAEA"/>
      </bottom>
      <diagonal/>
    </border>
    <border>
      <left/>
      <right style="thin">
        <color rgb="FFD0DAEA"/>
      </right>
      <top/>
      <bottom style="thin">
        <color rgb="FFD0DAEA"/>
      </bottom>
      <diagonal/>
    </border>
    <border>
      <left style="thin">
        <color rgb="FFD0DAEA"/>
      </left>
      <right style="thin">
        <color rgb="FFD0DAEA"/>
      </right>
      <top/>
      <bottom style="thin">
        <color rgb="FFD0DAEA"/>
      </bottom>
      <diagonal/>
    </border>
    <border>
      <left style="thin">
        <color rgb="FFD0DAEA"/>
      </left>
      <right/>
      <top/>
      <bottom style="thin">
        <color rgb="FFD0DAEA"/>
      </bottom>
      <diagonal/>
    </border>
    <border>
      <left/>
      <right style="thin">
        <color rgb="FFD0DAEA"/>
      </right>
      <top style="thin">
        <color rgb="FFD0DAEA"/>
      </top>
      <bottom style="thin">
        <color rgb="FFD0DAEA"/>
      </bottom>
      <diagonal/>
    </border>
    <border>
      <left style="thin">
        <color rgb="FFD0DAEA"/>
      </left>
      <right/>
      <top style="thin">
        <color rgb="FFD0DAEA"/>
      </top>
      <bottom style="thin">
        <color rgb="FFD0DAEA"/>
      </bottom>
      <diagonal/>
    </border>
    <border>
      <left/>
      <right style="thin">
        <color rgb="FFD0DAEA"/>
      </right>
      <top style="thin">
        <color rgb="FFD0DAEA"/>
      </top>
      <bottom/>
      <diagonal/>
    </border>
    <border>
      <left style="thin">
        <color rgb="FFD0DAEA"/>
      </left>
      <right style="thin">
        <color rgb="FFD0DAEA"/>
      </right>
      <top style="thin">
        <color rgb="FFD0DAEA"/>
      </top>
      <bottom/>
      <diagonal/>
    </border>
    <border>
      <left style="thin">
        <color rgb="FFD0DAEA"/>
      </left>
      <right/>
      <top style="thin">
        <color rgb="FFD0DAE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thin">
        <color rgb="FF2F5496"/>
      </bottom>
      <diagonal/>
    </border>
  </borders>
  <cellStyleXfs count="3">
    <xf numFmtId="0" fontId="0" fillId="0" borderId="0"/>
    <xf numFmtId="0" fontId="37" fillId="0" borderId="0"/>
    <xf numFmtId="0" fontId="1" fillId="0" borderId="0"/>
  </cellStyleXfs>
  <cellXfs count="118">
    <xf numFmtId="0" fontId="0" fillId="0" borderId="0" xfId="0"/>
    <xf numFmtId="0" fontId="20" fillId="11" borderId="3" xfId="0" applyFont="1" applyFill="1" applyBorder="1" applyAlignment="1">
      <alignment horizontal="left" vertical="center" wrapText="1"/>
    </xf>
    <xf numFmtId="0" fontId="21" fillId="12" borderId="0" xfId="0" applyFont="1" applyFill="1" applyAlignment="1">
      <alignment horizontal="center" vertical="center" wrapText="1"/>
    </xf>
    <xf numFmtId="0" fontId="20" fillId="11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3" borderId="2" xfId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37" fillId="0" borderId="0" xfId="1"/>
    <xf numFmtId="0" fontId="6" fillId="7" borderId="1" xfId="1" applyFont="1" applyFill="1" applyBorder="1" applyAlignment="1">
      <alignment horizontal="left" vertical="center" wrapText="1"/>
    </xf>
    <xf numFmtId="0" fontId="8" fillId="7" borderId="1" xfId="1" applyFont="1" applyFill="1" applyBorder="1" applyAlignment="1">
      <alignment horizontal="left" vertical="center" wrapText="1"/>
    </xf>
    <xf numFmtId="0" fontId="5" fillId="7" borderId="1" xfId="1" applyFont="1" applyFill="1" applyBorder="1" applyAlignment="1">
      <alignment horizontal="left" vertical="center" wrapText="1"/>
    </xf>
    <xf numFmtId="0" fontId="9" fillId="8" borderId="1" xfId="1" applyFont="1" applyFill="1" applyBorder="1" applyAlignment="1">
      <alignment horizontal="left" vertical="center" wrapText="1"/>
    </xf>
    <xf numFmtId="0" fontId="11" fillId="8" borderId="1" xfId="1" applyFont="1" applyFill="1" applyBorder="1" applyAlignment="1">
      <alignment horizontal="left" vertical="center" wrapText="1"/>
    </xf>
    <xf numFmtId="0" fontId="12" fillId="8" borderId="1" xfId="1" applyFont="1" applyFill="1" applyBorder="1" applyAlignment="1">
      <alignment horizontal="left" vertical="center" wrapText="1"/>
    </xf>
    <xf numFmtId="0" fontId="13" fillId="9" borderId="1" xfId="1" applyFont="1" applyFill="1" applyBorder="1" applyAlignment="1">
      <alignment horizontal="left" vertical="center" wrapText="1"/>
    </xf>
    <xf numFmtId="0" fontId="8" fillId="9" borderId="1" xfId="1" applyFont="1" applyFill="1" applyBorder="1" applyAlignment="1">
      <alignment horizontal="left" vertical="center" wrapText="1"/>
    </xf>
    <xf numFmtId="0" fontId="5" fillId="9" borderId="1" xfId="1" applyFont="1" applyFill="1" applyBorder="1" applyAlignment="1">
      <alignment horizontal="left" vertical="center" wrapText="1"/>
    </xf>
    <xf numFmtId="0" fontId="14" fillId="10" borderId="1" xfId="1" applyFont="1" applyFill="1" applyBorder="1" applyAlignment="1">
      <alignment horizontal="left" vertical="center" wrapText="1"/>
    </xf>
    <xf numFmtId="0" fontId="16" fillId="10" borderId="1" xfId="1" applyFont="1" applyFill="1" applyBorder="1" applyAlignment="1">
      <alignment horizontal="left" vertical="center" wrapText="1"/>
    </xf>
    <xf numFmtId="0" fontId="17" fillId="10" borderId="1" xfId="1" applyFont="1" applyFill="1" applyBorder="1" applyAlignment="1">
      <alignment horizontal="left" vertical="center" wrapText="1"/>
    </xf>
    <xf numFmtId="0" fontId="6" fillId="9" borderId="1" xfId="1" applyFont="1" applyFill="1" applyBorder="1" applyAlignment="1">
      <alignment horizontal="left" vertical="center" wrapText="1"/>
    </xf>
    <xf numFmtId="0" fontId="21" fillId="13" borderId="3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left" vertical="center" wrapText="1"/>
    </xf>
    <xf numFmtId="0" fontId="23" fillId="15" borderId="3" xfId="0" applyFont="1" applyFill="1" applyBorder="1" applyAlignment="1">
      <alignment horizontal="center" vertical="center" wrapText="1"/>
    </xf>
    <xf numFmtId="0" fontId="23" fillId="16" borderId="3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3" fillId="14" borderId="3" xfId="0" applyFont="1" applyFill="1" applyBorder="1" applyAlignment="1">
      <alignment horizontal="center" vertical="center" wrapText="1"/>
    </xf>
    <xf numFmtId="9" fontId="23" fillId="14" borderId="3" xfId="0" applyNumberFormat="1" applyFont="1" applyFill="1" applyBorder="1" applyAlignment="1">
      <alignment horizontal="center" vertical="center" wrapText="1"/>
    </xf>
    <xf numFmtId="0" fontId="22" fillId="11" borderId="3" xfId="0" applyFont="1" applyFill="1" applyBorder="1" applyAlignment="1">
      <alignment horizontal="left" vertical="center" wrapText="1"/>
    </xf>
    <xf numFmtId="0" fontId="22" fillId="11" borderId="3" xfId="0" applyFont="1" applyFill="1" applyBorder="1" applyAlignment="1">
      <alignment horizontal="center" vertical="center" wrapText="1"/>
    </xf>
    <xf numFmtId="0" fontId="23" fillId="11" borderId="3" xfId="0" applyFont="1" applyFill="1" applyBorder="1" applyAlignment="1">
      <alignment horizontal="center" vertical="center" wrapText="1"/>
    </xf>
    <xf numFmtId="9" fontId="23" fillId="11" borderId="3" xfId="0" applyNumberFormat="1" applyFont="1" applyFill="1" applyBorder="1" applyAlignment="1">
      <alignment horizontal="center" vertical="center" wrapText="1"/>
    </xf>
    <xf numFmtId="0" fontId="21" fillId="12" borderId="3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  <xf numFmtId="9" fontId="24" fillId="17" borderId="3" xfId="0" applyNumberFormat="1" applyFont="1" applyFill="1" applyBorder="1" applyAlignment="1">
      <alignment horizontal="center" vertical="center" wrapText="1"/>
    </xf>
    <xf numFmtId="9" fontId="25" fillId="14" borderId="3" xfId="0" applyNumberFormat="1" applyFont="1" applyFill="1" applyBorder="1" applyAlignment="1">
      <alignment horizontal="center" vertical="center" wrapText="1"/>
    </xf>
    <xf numFmtId="0" fontId="25" fillId="14" borderId="3" xfId="0" applyFont="1" applyFill="1" applyBorder="1" applyAlignment="1">
      <alignment horizontal="center" vertical="center" wrapText="1"/>
    </xf>
    <xf numFmtId="0" fontId="26" fillId="13" borderId="4" xfId="0" applyFont="1" applyFill="1" applyBorder="1" applyAlignment="1">
      <alignment horizontal="center" vertical="center" wrapText="1"/>
    </xf>
    <xf numFmtId="0" fontId="26" fillId="13" borderId="5" xfId="0" applyFont="1" applyFill="1" applyBorder="1" applyAlignment="1">
      <alignment horizontal="center" vertical="center" wrapText="1"/>
    </xf>
    <xf numFmtId="0" fontId="26" fillId="13" borderId="6" xfId="0" applyFont="1" applyFill="1" applyBorder="1" applyAlignment="1">
      <alignment horizontal="center" vertical="center" wrapText="1"/>
    </xf>
    <xf numFmtId="0" fontId="22" fillId="15" borderId="7" xfId="0" applyFont="1" applyFill="1" applyBorder="1" applyAlignment="1">
      <alignment horizontal="center" vertical="center" wrapText="1"/>
    </xf>
    <xf numFmtId="0" fontId="23" fillId="11" borderId="3" xfId="0" applyFont="1" applyFill="1" applyBorder="1" applyAlignment="1">
      <alignment horizontal="left" vertical="center" wrapText="1"/>
    </xf>
    <xf numFmtId="0" fontId="24" fillId="11" borderId="3" xfId="0" applyFont="1" applyFill="1" applyBorder="1" applyAlignment="1">
      <alignment horizontal="center" vertical="center" wrapText="1"/>
    </xf>
    <xf numFmtId="0" fontId="20" fillId="11" borderId="8" xfId="0" applyFont="1" applyFill="1" applyBorder="1" applyAlignment="1">
      <alignment horizontal="left" vertical="center" wrapText="1"/>
    </xf>
    <xf numFmtId="0" fontId="23" fillId="14" borderId="3" xfId="0" applyFont="1" applyFill="1" applyBorder="1" applyAlignment="1">
      <alignment horizontal="left" vertical="center" wrapText="1"/>
    </xf>
    <xf numFmtId="0" fontId="24" fillId="14" borderId="3" xfId="0" applyFont="1" applyFill="1" applyBorder="1" applyAlignment="1">
      <alignment horizontal="center" vertical="center" wrapText="1"/>
    </xf>
    <xf numFmtId="0" fontId="20" fillId="14" borderId="8" xfId="0" applyFont="1" applyFill="1" applyBorder="1" applyAlignment="1">
      <alignment horizontal="left" vertical="center" wrapText="1"/>
    </xf>
    <xf numFmtId="0" fontId="22" fillId="15" borderId="9" xfId="0" applyFont="1" applyFill="1" applyBorder="1" applyAlignment="1">
      <alignment horizontal="center" vertical="center" wrapText="1"/>
    </xf>
    <xf numFmtId="0" fontId="23" fillId="14" borderId="10" xfId="0" applyFont="1" applyFill="1" applyBorder="1" applyAlignment="1">
      <alignment horizontal="left" vertical="center" wrapText="1"/>
    </xf>
    <xf numFmtId="0" fontId="23" fillId="15" borderId="10" xfId="0" applyFont="1" applyFill="1" applyBorder="1" applyAlignment="1">
      <alignment horizontal="center" vertical="center" wrapText="1"/>
    </xf>
    <xf numFmtId="0" fontId="24" fillId="14" borderId="10" xfId="0" applyFont="1" applyFill="1" applyBorder="1" applyAlignment="1">
      <alignment horizontal="center" vertical="center" wrapText="1"/>
    </xf>
    <xf numFmtId="0" fontId="20" fillId="14" borderId="11" xfId="0" applyFont="1" applyFill="1" applyBorder="1" applyAlignment="1">
      <alignment horizontal="left" vertical="center" wrapText="1"/>
    </xf>
    <xf numFmtId="0" fontId="27" fillId="18" borderId="3" xfId="0" applyFont="1" applyFill="1" applyBorder="1" applyAlignment="1">
      <alignment horizontal="center" vertical="center" wrapText="1"/>
    </xf>
    <xf numFmtId="0" fontId="28" fillId="19" borderId="3" xfId="0" applyFont="1" applyFill="1" applyBorder="1" applyAlignment="1">
      <alignment horizontal="center" vertical="center" wrapText="1"/>
    </xf>
    <xf numFmtId="0" fontId="29" fillId="20" borderId="3" xfId="0" applyFont="1" applyFill="1" applyBorder="1" applyAlignment="1">
      <alignment horizontal="center" vertical="center" wrapText="1"/>
    </xf>
    <xf numFmtId="0" fontId="1" fillId="0" borderId="0" xfId="2"/>
    <xf numFmtId="0" fontId="30" fillId="4" borderId="13" xfId="2" applyFont="1" applyFill="1" applyBorder="1" applyAlignment="1">
      <alignment horizontal="left" vertical="center" wrapText="1"/>
    </xf>
    <xf numFmtId="164" fontId="30" fillId="4" borderId="13" xfId="2" applyNumberFormat="1" applyFont="1" applyFill="1" applyBorder="1" applyAlignment="1">
      <alignment horizontal="left" vertical="center" wrapText="1"/>
    </xf>
    <xf numFmtId="0" fontId="30" fillId="4" borderId="13" xfId="0" applyFont="1" applyFill="1" applyBorder="1" applyAlignment="1">
      <alignment horizontal="left" vertical="center" wrapText="1"/>
    </xf>
    <xf numFmtId="165" fontId="30" fillId="4" borderId="13" xfId="2" applyNumberFormat="1" applyFont="1" applyFill="1" applyBorder="1" applyAlignment="1">
      <alignment horizontal="left" vertical="center" wrapText="1"/>
    </xf>
    <xf numFmtId="0" fontId="18" fillId="2" borderId="1" xfId="2" applyFont="1" applyFill="1" applyBorder="1" applyAlignment="1">
      <alignment horizontal="center" vertical="center" wrapText="1"/>
    </xf>
    <xf numFmtId="0" fontId="31" fillId="3" borderId="1" xfId="2" applyFont="1" applyFill="1" applyBorder="1" applyAlignment="1">
      <alignment horizontal="center" vertical="center" wrapText="1"/>
    </xf>
    <xf numFmtId="0" fontId="32" fillId="16" borderId="13" xfId="2" applyFont="1" applyFill="1" applyBorder="1" applyAlignment="1">
      <alignment horizontal="left" vertical="center"/>
    </xf>
    <xf numFmtId="0" fontId="32" fillId="16" borderId="13" xfId="2" applyFont="1" applyFill="1" applyBorder="1" applyAlignment="1">
      <alignment horizontal="center" vertical="center"/>
    </xf>
    <xf numFmtId="0" fontId="32" fillId="16" borderId="13" xfId="2" applyFont="1" applyFill="1" applyBorder="1" applyAlignment="1">
      <alignment horizontal="left" vertical="center" wrapText="1"/>
    </xf>
    <xf numFmtId="0" fontId="33" fillId="14" borderId="13" xfId="2" applyFont="1" applyFill="1" applyBorder="1" applyAlignment="1">
      <alignment horizontal="left" vertical="center"/>
    </xf>
    <xf numFmtId="0" fontId="33" fillId="14" borderId="13" xfId="2" applyFont="1" applyFill="1" applyBorder="1" applyAlignment="1">
      <alignment horizontal="center" vertical="center"/>
    </xf>
    <xf numFmtId="0" fontId="33" fillId="14" borderId="13" xfId="2" applyFont="1" applyFill="1" applyBorder="1" applyAlignment="1">
      <alignment horizontal="left" vertical="center" wrapText="1"/>
    </xf>
    <xf numFmtId="0" fontId="34" fillId="22" borderId="13" xfId="2" applyFont="1" applyFill="1" applyBorder="1" applyAlignment="1">
      <alignment horizontal="left" vertical="center"/>
    </xf>
    <xf numFmtId="0" fontId="34" fillId="22" borderId="13" xfId="2" applyFont="1" applyFill="1" applyBorder="1" applyAlignment="1">
      <alignment horizontal="center" vertical="center"/>
    </xf>
    <xf numFmtId="0" fontId="34" fillId="22" borderId="13" xfId="2" applyFont="1" applyFill="1" applyBorder="1" applyAlignment="1">
      <alignment horizontal="left" vertical="center" wrapText="1"/>
    </xf>
    <xf numFmtId="0" fontId="35" fillId="4" borderId="13" xfId="2" applyFont="1" applyFill="1" applyBorder="1" applyAlignment="1">
      <alignment horizontal="left" vertical="center"/>
    </xf>
    <xf numFmtId="0" fontId="35" fillId="4" borderId="13" xfId="2" applyFont="1" applyFill="1" applyBorder="1" applyAlignment="1">
      <alignment horizontal="center" vertical="center"/>
    </xf>
    <xf numFmtId="0" fontId="35" fillId="4" borderId="13" xfId="2" applyFont="1" applyFill="1" applyBorder="1" applyAlignment="1">
      <alignment horizontal="left" vertical="center" wrapText="1"/>
    </xf>
    <xf numFmtId="0" fontId="30" fillId="14" borderId="13" xfId="2" applyFont="1" applyFill="1" applyBorder="1" applyAlignment="1">
      <alignment horizontal="left" vertical="center"/>
    </xf>
    <xf numFmtId="0" fontId="30" fillId="14" borderId="13" xfId="2" applyFont="1" applyFill="1" applyBorder="1" applyAlignment="1">
      <alignment horizontal="center" vertical="center"/>
    </xf>
    <xf numFmtId="0" fontId="30" fillId="14" borderId="13" xfId="2" applyFont="1" applyFill="1" applyBorder="1" applyAlignment="1">
      <alignment horizontal="left" vertical="center" wrapText="1"/>
    </xf>
    <xf numFmtId="164" fontId="32" fillId="16" borderId="13" xfId="2" applyNumberFormat="1" applyFont="1" applyFill="1" applyBorder="1" applyAlignment="1">
      <alignment horizontal="center" vertical="center"/>
    </xf>
    <xf numFmtId="166" fontId="32" fillId="16" borderId="13" xfId="2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30" fillId="22" borderId="13" xfId="0" applyFont="1" applyFill="1" applyBorder="1" applyAlignment="1">
      <alignment horizontal="left" vertical="center" wrapText="1"/>
    </xf>
    <xf numFmtId="0" fontId="30" fillId="16" borderId="13" xfId="0" applyFont="1" applyFill="1" applyBorder="1" applyAlignment="1">
      <alignment horizontal="left" vertical="center" wrapText="1"/>
    </xf>
    <xf numFmtId="0" fontId="23" fillId="18" borderId="3" xfId="0" applyFont="1" applyFill="1" applyBorder="1" applyAlignment="1">
      <alignment horizontal="left" vertical="center"/>
    </xf>
    <xf numFmtId="0" fontId="23" fillId="19" borderId="3" xfId="0" applyFont="1" applyFill="1" applyBorder="1" applyAlignment="1">
      <alignment horizontal="left" vertical="center"/>
    </xf>
    <xf numFmtId="0" fontId="23" fillId="20" borderId="3" xfId="0" applyFont="1" applyFill="1" applyBorder="1" applyAlignment="1">
      <alignment horizontal="left" vertical="center"/>
    </xf>
    <xf numFmtId="0" fontId="18" fillId="2" borderId="12" xfId="2" applyFont="1" applyFill="1" applyBorder="1" applyAlignment="1">
      <alignment horizontal="center" vertical="center" wrapText="1"/>
    </xf>
    <xf numFmtId="0" fontId="19" fillId="2" borderId="0" xfId="2" applyFont="1" applyFill="1" applyAlignment="1">
      <alignment horizontal="center" vertical="center"/>
    </xf>
    <xf numFmtId="0" fontId="4" fillId="21" borderId="14" xfId="2" applyFont="1" applyFill="1" applyBorder="1" applyAlignment="1">
      <alignment horizontal="left" vertical="center"/>
    </xf>
    <xf numFmtId="0" fontId="2" fillId="5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 wrapText="1"/>
    </xf>
    <xf numFmtId="0" fontId="10" fillId="8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6" fillId="10" borderId="1" xfId="1" applyFont="1" applyFill="1" applyBorder="1" applyAlignment="1">
      <alignment horizontal="center" vertical="center" wrapText="1"/>
    </xf>
    <xf numFmtId="0" fontId="15" fillId="10" borderId="1" xfId="1" applyFont="1" applyFill="1" applyBorder="1" applyAlignment="1">
      <alignment horizontal="center" vertical="center" wrapText="1"/>
    </xf>
    <xf numFmtId="0" fontId="7" fillId="9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right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18" fillId="5" borderId="2" xfId="1" applyFont="1" applyFill="1" applyBorder="1" applyAlignment="1">
      <alignment horizontal="center" vertical="center" wrapText="1"/>
    </xf>
    <xf numFmtId="0" fontId="37" fillId="0" borderId="0" xfId="1" applyAlignment="1">
      <alignment wrapText="1"/>
    </xf>
    <xf numFmtId="0" fontId="19" fillId="2" borderId="12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0" fillId="22" borderId="13" xfId="0" applyFont="1" applyFill="1" applyBorder="1" applyAlignment="1">
      <alignment horizontal="center" vertical="center" wrapText="1"/>
    </xf>
    <xf numFmtId="0" fontId="30" fillId="16" borderId="1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13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6000000}"/>
    <cellStyle name="Normal 3" xfId="2" xr:uid="{00000000-0005-0000-0000-000007000000}"/>
  </cellStyles>
  <dxfs count="28">
    <dxf>
      <font>
        <b/>
        <color rgb="FF375623"/>
      </font>
      <fill>
        <patternFill>
          <bgColor rgb="FFE2EFDA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843C0C"/>
      </font>
      <fill>
        <patternFill>
          <bgColor rgb="FFFCE4D6"/>
        </patternFill>
      </fill>
    </dxf>
    <dxf>
      <font>
        <color rgb="FFB02020"/>
      </font>
      <fill>
        <patternFill>
          <bgColor rgb="FFFFF7F7"/>
        </patternFill>
      </fill>
    </dxf>
    <dxf>
      <font>
        <color rgb="FFD97000"/>
      </font>
      <fill>
        <patternFill>
          <bgColor rgb="FFFFFDF0"/>
        </patternFill>
      </fill>
    </dxf>
    <dxf>
      <font>
        <color rgb="FF1E7E34"/>
      </font>
      <fill>
        <patternFill>
          <bgColor rgb="FFF4FBF5"/>
        </patternFill>
      </fill>
    </dxf>
    <dxf>
      <font>
        <color rgb="FFB02020"/>
      </font>
      <fill>
        <patternFill>
          <bgColor rgb="FFFFF7F7"/>
        </patternFill>
      </fill>
    </dxf>
    <dxf>
      <font>
        <color rgb="FFD97000"/>
      </font>
      <fill>
        <patternFill>
          <bgColor rgb="FFFFFDF0"/>
        </patternFill>
      </fill>
    </dxf>
    <dxf>
      <font>
        <color rgb="FF1E7E34"/>
      </font>
      <fill>
        <patternFill>
          <bgColor rgb="FFF4FBF5"/>
        </patternFill>
      </fill>
    </dxf>
    <dxf>
      <font>
        <b/>
        <color rgb="FFB02020"/>
      </font>
      <fill>
        <patternFill>
          <bgColor rgb="FFFDDDE0"/>
        </patternFill>
      </fill>
    </dxf>
    <dxf>
      <font>
        <b/>
        <color rgb="FFD97000"/>
      </font>
      <fill>
        <patternFill>
          <bgColor rgb="FFFFF3CD"/>
        </patternFill>
      </fill>
    </dxf>
    <dxf>
      <font>
        <b/>
        <color rgb="FF1E7E34"/>
      </font>
      <fill>
        <patternFill>
          <bgColor rgb="FFD4EDDA"/>
        </patternFill>
      </fill>
    </dxf>
    <dxf>
      <font>
        <b/>
        <color rgb="FFB02020"/>
      </font>
      <fill>
        <patternFill>
          <bgColor rgb="FFFDDDE0"/>
        </patternFill>
      </fill>
    </dxf>
    <dxf>
      <font>
        <b/>
        <color rgb="FFD97000"/>
      </font>
      <fill>
        <patternFill>
          <bgColor rgb="FFFFF3CD"/>
        </patternFill>
      </fill>
    </dxf>
    <dxf>
      <font>
        <b/>
        <color rgb="FF1E7E34"/>
      </font>
      <fill>
        <patternFill>
          <bgColor rgb="FFD4EDDA"/>
        </patternFill>
      </fill>
    </dxf>
    <dxf>
      <font>
        <color rgb="FF1E6E42"/>
      </font>
      <fill>
        <patternFill>
          <bgColor rgb="FFD6F0DE"/>
        </patternFill>
      </fill>
    </dxf>
    <dxf>
      <font>
        <color rgb="FF7A5900"/>
      </font>
      <fill>
        <patternFill>
          <bgColor rgb="FFFFF3CD"/>
        </patternFill>
      </fill>
    </dxf>
    <dxf>
      <font>
        <b/>
        <color rgb="FF8B1C2C"/>
      </font>
      <fill>
        <patternFill>
          <bgColor rgb="FFFAD7DC"/>
        </patternFill>
      </fill>
    </dxf>
    <dxf>
      <font>
        <color rgb="FF8B1C2C"/>
      </font>
      <fill>
        <patternFill>
          <bgColor rgb="FFFAD7DC"/>
        </patternFill>
      </fill>
    </dxf>
    <dxf>
      <font>
        <color rgb="FF7A5900"/>
      </font>
      <fill>
        <patternFill>
          <bgColor rgb="FFFFF3CD"/>
        </patternFill>
      </fill>
    </dxf>
    <dxf>
      <font>
        <color rgb="FF1E6E42"/>
      </font>
      <fill>
        <patternFill>
          <bgColor rgb="FFD6F0DE"/>
        </patternFill>
      </fill>
    </dxf>
    <dxf>
      <font>
        <b/>
        <color rgb="FF8B1C2C"/>
      </font>
      <fill>
        <patternFill>
          <bgColor rgb="FFFAD7DC"/>
        </patternFill>
      </fill>
    </dxf>
    <dxf>
      <font>
        <b/>
        <color rgb="FF7A5900"/>
      </font>
      <fill>
        <patternFill>
          <bgColor rgb="FFFFF3CD"/>
        </patternFill>
      </fill>
    </dxf>
    <dxf>
      <font>
        <b/>
        <color rgb="FF1E6E42"/>
      </font>
      <fill>
        <patternFill>
          <bgColor rgb="FFD6F0DE"/>
        </patternFill>
      </fill>
    </dxf>
    <dxf>
      <font>
        <b/>
        <color rgb="FF8B1C2C"/>
      </font>
      <fill>
        <patternFill>
          <bgColor rgb="FFFAD7DC"/>
        </patternFill>
      </fill>
    </dxf>
    <dxf>
      <font>
        <b/>
        <color rgb="FF7A3900"/>
      </font>
      <fill>
        <patternFill>
          <bgColor rgb="FFFDDCB5"/>
        </patternFill>
      </fill>
    </dxf>
    <dxf>
      <font>
        <b/>
        <color rgb="FF7A5900"/>
      </font>
      <fill>
        <patternFill>
          <bgColor rgb="FFFFF3CD"/>
        </patternFill>
      </fill>
    </dxf>
    <dxf>
      <font>
        <b/>
        <color rgb="FF1E6E42"/>
      </font>
      <fill>
        <patternFill>
          <bgColor rgb="FFD6F0D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FDE7"/>
      <rgbColor rgb="FFF2F2F2"/>
      <rgbColor rgb="FFFFFDF0"/>
      <rgbColor rgb="FFFFF2CC"/>
      <rgbColor rgb="FFF5F5F5"/>
      <rgbColor rgb="FFE2EFDA"/>
      <rgbColor rgb="FF8B1C2C"/>
      <rgbColor rgb="FF1E7E34"/>
      <rgbColor rgb="FF1A2540"/>
      <rgbColor rgb="FF7F6000"/>
      <rgbColor rgb="FFFFF7F7"/>
      <rgbColor rgb="FF00695C"/>
      <rgbColor rgb="FFBFBFBF"/>
      <rgbColor rgb="FF6B82A0"/>
      <rgbColor rgb="FFDEEAF1"/>
      <rgbColor rgb="FFB02020"/>
      <rgbColor rgb="FFFFF8E1"/>
      <rgbColor rgb="FFE0F2F1"/>
      <rgbColor rgb="FF375623"/>
      <rgbColor rgb="FFD97000"/>
      <rgbColor rgb="FF1E4E8C"/>
      <rgbColor rgb="FFD0DAEA"/>
      <rgbColor rgb="FF2C5282"/>
      <rgbColor rgb="FFF4F6FA"/>
      <rgbColor rgb="FFFDE9D9"/>
      <rgbColor rgb="FFE3EDF8"/>
      <rgbColor rgb="FFF4FBF5"/>
      <rgbColor rgb="FF7A5900"/>
      <rgbColor rgb="FF1E6E42"/>
      <rgbColor rgb="FF0000FF"/>
      <rgbColor rgb="FFE8F0FE"/>
      <rgbColor rgb="FFE8F5E9"/>
      <rgbColor rgb="FFD6F0DE"/>
      <rgbColor rgb="FFFFF3CD"/>
      <rgbColor rgb="FFCCCCCC"/>
      <rgbColor rgb="FFFAD7DC"/>
      <rgbColor rgb="FFFDDDE0"/>
      <rgbColor rgb="FFFDDCB5"/>
      <rgbColor rgb="FF2F5496"/>
      <rgbColor rgb="FFD4EDDA"/>
      <rgbColor rgb="FFC9A227"/>
      <rgbColor rgb="FFFCE4D6"/>
      <rgbColor rgb="FFFF8C00"/>
      <rgbColor rgb="FFE06C00"/>
      <rgbColor rgb="FF666666"/>
      <rgbColor rgb="FF555555"/>
      <rgbColor rgb="FF1A3A5C"/>
      <rgbColor rgb="FF1B5E20"/>
      <rgbColor rgb="FF0B1F3D"/>
      <rgbColor rgb="FF404040"/>
      <rgbColor rgb="FF843C0C"/>
      <rgbColor rgb="FF7A3900"/>
      <rgbColor rgb="FF1F386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Processos" displayName="TbProcessos" ref="A16:I24" totalsRowShown="0">
  <autoFilter ref="A16:I24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000-000001000000}" name="Servidor ◄ EDITAR"/>
    <tableColumn id="2" xr3:uid="{00000000-0010-0000-0000-000002000000}" name="Processo / Objeto ◄ EDITAR"/>
    <tableColumn id="3" xr3:uid="{00000000-0010-0000-0000-000003000000}" name="Modalidade_x000a_(pts) ◄"/>
    <tableColumn id="4" xr3:uid="{00000000-0010-0000-0000-000004000000}" name="Natureza_x000a_(pts) ◄"/>
    <tableColumn id="5" xr3:uid="{00000000-0010-0000-0000-000005000000}" name="Sessão_x000a_(pts) ◄"/>
    <tableColumn id="6" xr3:uid="{00000000-0010-0000-0000-000006000000}" name="Outros_x000a_(pts) ◄"/>
    <tableColumn id="7" xr3:uid="{00000000-0010-0000-0000-000007000000}" name="Total"/>
    <tableColumn id="8" xr3:uid="{00000000-0010-0000-0000-000008000000}" name="Fase Atual ◄ EDITAR"/>
    <tableColumn id="9" xr3:uid="{00000000-0010-0000-0000-000009000000}" name="Observaçã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EB904E-40C6-4EE2-8779-621946ACDBE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c568663-97f2-4391-9939-822b4526ac15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uap.cp2.g12.br/processo_eletronico/processo/98896/" TargetMode="External"/><Relationship Id="rId2" Type="http://schemas.openxmlformats.org/officeDocument/2006/relationships/hyperlink" Target="https://suap.cp2.g12.br/processo_eletronico/processo/62011/" TargetMode="External"/><Relationship Id="rId1" Type="http://schemas.openxmlformats.org/officeDocument/2006/relationships/hyperlink" Target="https://suap.cp2.g12.br/processo_eletronico/processo/10438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showGridLines="0" tabSelected="1" zoomScaleNormal="100" workbookViewId="0">
      <selection activeCell="B23" sqref="B23:D23"/>
    </sheetView>
  </sheetViews>
  <sheetFormatPr defaultColWidth="8.7109375" defaultRowHeight="15" x14ac:dyDescent="0.25"/>
  <cols>
    <col min="1" max="1" width="38" customWidth="1"/>
    <col min="2" max="2" width="65" customWidth="1"/>
    <col min="3" max="4" width="5" customWidth="1"/>
  </cols>
  <sheetData>
    <row r="1" spans="1:4" ht="27.75" customHeight="1" x14ac:dyDescent="0.25">
      <c r="A1" s="9" t="s">
        <v>0</v>
      </c>
      <c r="B1" s="9"/>
      <c r="C1" s="9"/>
      <c r="D1" s="9"/>
    </row>
    <row r="2" spans="1:4" ht="6" customHeight="1" x14ac:dyDescent="0.25">
      <c r="B2" s="8"/>
      <c r="C2" s="8"/>
      <c r="D2" s="8"/>
    </row>
    <row r="3" spans="1:4" ht="6" customHeight="1" x14ac:dyDescent="0.25"/>
    <row r="4" spans="1:4" ht="19.5" customHeight="1" x14ac:dyDescent="0.25">
      <c r="A4" s="7" t="s">
        <v>1</v>
      </c>
      <c r="B4" s="7"/>
      <c r="C4" s="7"/>
      <c r="D4" s="7"/>
    </row>
    <row r="5" spans="1:4" ht="39" customHeight="1" x14ac:dyDescent="0.25">
      <c r="A5" s="10" t="s">
        <v>2</v>
      </c>
      <c r="B5" s="6" t="s">
        <v>3</v>
      </c>
      <c r="C5" s="6"/>
      <c r="D5" s="6"/>
    </row>
    <row r="6" spans="1:4" ht="12" customHeight="1" x14ac:dyDescent="0.25">
      <c r="C6" s="8"/>
      <c r="D6" s="8"/>
    </row>
    <row r="7" spans="1:4" ht="19.5" customHeight="1" x14ac:dyDescent="0.25">
      <c r="A7" s="7" t="s">
        <v>4</v>
      </c>
      <c r="B7" s="7"/>
      <c r="C7" s="7"/>
      <c r="D7" s="7"/>
    </row>
    <row r="8" spans="1:4" ht="30" customHeight="1" x14ac:dyDescent="0.25">
      <c r="A8" s="10" t="s">
        <v>5</v>
      </c>
      <c r="B8" s="6" t="s">
        <v>6</v>
      </c>
      <c r="C8" s="6"/>
      <c r="D8" s="6"/>
    </row>
    <row r="9" spans="1:4" ht="30" customHeight="1" x14ac:dyDescent="0.25">
      <c r="A9" s="10" t="s">
        <v>7</v>
      </c>
      <c r="B9" s="6" t="s">
        <v>8</v>
      </c>
      <c r="C9" s="6"/>
      <c r="D9" s="6"/>
    </row>
    <row r="10" spans="1:4" ht="30" customHeight="1" x14ac:dyDescent="0.25">
      <c r="A10" s="10" t="s">
        <v>9</v>
      </c>
      <c r="B10" s="6" t="s">
        <v>10</v>
      </c>
      <c r="C10" s="6"/>
      <c r="D10" s="6"/>
    </row>
    <row r="11" spans="1:4" ht="30" customHeight="1" x14ac:dyDescent="0.25">
      <c r="A11" s="10" t="s">
        <v>11</v>
      </c>
      <c r="B11" s="6" t="s">
        <v>12</v>
      </c>
      <c r="C11" s="6"/>
      <c r="D11" s="6"/>
    </row>
    <row r="12" spans="1:4" ht="30" customHeight="1" x14ac:dyDescent="0.25">
      <c r="A12" s="10" t="s">
        <v>13</v>
      </c>
      <c r="B12" s="6" t="s">
        <v>14</v>
      </c>
      <c r="C12" s="6"/>
      <c r="D12" s="6"/>
    </row>
    <row r="13" spans="1:4" ht="30" customHeight="1" x14ac:dyDescent="0.25">
      <c r="A13" s="10" t="s">
        <v>15</v>
      </c>
      <c r="B13" s="6" t="s">
        <v>16</v>
      </c>
      <c r="C13" s="6"/>
      <c r="D13" s="6"/>
    </row>
    <row r="14" spans="1:4" ht="6" customHeight="1" x14ac:dyDescent="0.25">
      <c r="C14" s="8"/>
      <c r="D14" s="8"/>
    </row>
    <row r="15" spans="1:4" ht="19.5" customHeight="1" x14ac:dyDescent="0.25">
      <c r="A15" s="7" t="s">
        <v>17</v>
      </c>
      <c r="B15" s="7"/>
      <c r="C15" s="7"/>
      <c r="D15" s="7"/>
    </row>
    <row r="16" spans="1:4" ht="30" customHeight="1" x14ac:dyDescent="0.25">
      <c r="A16" s="10" t="s">
        <v>18</v>
      </c>
      <c r="B16" s="6" t="s">
        <v>19</v>
      </c>
      <c r="C16" s="6"/>
      <c r="D16" s="6"/>
    </row>
    <row r="17" spans="1:4" ht="30" customHeight="1" x14ac:dyDescent="0.25">
      <c r="A17" s="10" t="s">
        <v>20</v>
      </c>
      <c r="B17" s="6" t="s">
        <v>21</v>
      </c>
      <c r="C17" s="6"/>
      <c r="D17" s="6"/>
    </row>
    <row r="18" spans="1:4" ht="30" customHeight="1" x14ac:dyDescent="0.25">
      <c r="A18" s="10" t="s">
        <v>22</v>
      </c>
      <c r="B18" s="6" t="s">
        <v>23</v>
      </c>
      <c r="C18" s="6"/>
      <c r="D18" s="6"/>
    </row>
    <row r="19" spans="1:4" ht="30" customHeight="1" x14ac:dyDescent="0.25">
      <c r="A19" s="10" t="s">
        <v>24</v>
      </c>
      <c r="B19" s="6" t="s">
        <v>25</v>
      </c>
      <c r="C19" s="6"/>
      <c r="D19" s="6"/>
    </row>
    <row r="20" spans="1:4" ht="30" customHeight="1" x14ac:dyDescent="0.25">
      <c r="A20" s="10" t="s">
        <v>26</v>
      </c>
      <c r="B20" s="6" t="s">
        <v>27</v>
      </c>
      <c r="C20" s="6"/>
      <c r="D20" s="6"/>
    </row>
    <row r="21" spans="1:4" ht="6" customHeight="1" x14ac:dyDescent="0.25">
      <c r="B21" s="8"/>
      <c r="C21" s="8"/>
      <c r="D21" s="8"/>
    </row>
    <row r="22" spans="1:4" ht="19.5" customHeight="1" x14ac:dyDescent="0.25">
      <c r="A22" s="7" t="s">
        <v>28</v>
      </c>
      <c r="B22" s="7"/>
      <c r="C22" s="7"/>
      <c r="D22" s="7"/>
    </row>
    <row r="23" spans="1:4" ht="30" customHeight="1" x14ac:dyDescent="0.25">
      <c r="A23" s="10" t="s">
        <v>29</v>
      </c>
      <c r="B23" s="6" t="s">
        <v>30</v>
      </c>
      <c r="C23" s="6"/>
      <c r="D23" s="6"/>
    </row>
    <row r="24" spans="1:4" ht="30" customHeight="1" x14ac:dyDescent="0.25">
      <c r="A24" s="10" t="s">
        <v>31</v>
      </c>
      <c r="B24" s="6" t="s">
        <v>32</v>
      </c>
      <c r="C24" s="6"/>
      <c r="D24" s="6"/>
    </row>
    <row r="25" spans="1:4" ht="30" customHeight="1" x14ac:dyDescent="0.25">
      <c r="A25" s="10" t="s">
        <v>33</v>
      </c>
      <c r="B25" s="6" t="s">
        <v>34</v>
      </c>
      <c r="C25" s="6"/>
      <c r="D25" s="6"/>
    </row>
    <row r="26" spans="1:4" ht="30" customHeight="1" x14ac:dyDescent="0.25">
      <c r="A26" s="10" t="s">
        <v>35</v>
      </c>
      <c r="B26" s="6" t="s">
        <v>36</v>
      </c>
      <c r="C26" s="6"/>
      <c r="D26" s="6"/>
    </row>
    <row r="27" spans="1:4" ht="30" customHeight="1" x14ac:dyDescent="0.25">
      <c r="A27" s="10" t="s">
        <v>37</v>
      </c>
      <c r="B27" s="6" t="s">
        <v>34</v>
      </c>
      <c r="C27" s="6"/>
      <c r="D27" s="6"/>
    </row>
    <row r="28" spans="1:4" ht="30" customHeight="1" x14ac:dyDescent="0.25">
      <c r="A28" s="10" t="s">
        <v>38</v>
      </c>
      <c r="B28" s="6" t="s">
        <v>34</v>
      </c>
      <c r="C28" s="6"/>
      <c r="D28" s="6"/>
    </row>
    <row r="29" spans="1:4" ht="30" customHeight="1" x14ac:dyDescent="0.25">
      <c r="A29" s="10" t="s">
        <v>39</v>
      </c>
      <c r="B29" s="6" t="s">
        <v>40</v>
      </c>
      <c r="C29" s="6"/>
      <c r="D29" s="6"/>
    </row>
    <row r="30" spans="1:4" ht="30" customHeight="1" x14ac:dyDescent="0.25">
      <c r="A30" s="10" t="s">
        <v>41</v>
      </c>
      <c r="B30" s="6" t="s">
        <v>42</v>
      </c>
      <c r="C30" s="6"/>
      <c r="D30" s="6"/>
    </row>
    <row r="31" spans="1:4" ht="30" customHeight="1" x14ac:dyDescent="0.25">
      <c r="A31" s="10" t="s">
        <v>43</v>
      </c>
      <c r="B31" s="6" t="s">
        <v>44</v>
      </c>
      <c r="C31" s="6"/>
      <c r="D31" s="6"/>
    </row>
    <row r="32" spans="1:4" ht="30" customHeight="1" x14ac:dyDescent="0.25">
      <c r="A32" s="10" t="s">
        <v>45</v>
      </c>
      <c r="B32" s="6" t="s">
        <v>46</v>
      </c>
      <c r="C32" s="6"/>
      <c r="D32" s="6"/>
    </row>
    <row r="33" spans="1:4" ht="6" customHeight="1" x14ac:dyDescent="0.25"/>
    <row r="34" spans="1:4" ht="19.5" customHeight="1" x14ac:dyDescent="0.25">
      <c r="A34" s="7" t="s">
        <v>47</v>
      </c>
      <c r="B34" s="7"/>
      <c r="C34" s="7"/>
      <c r="D34" s="7"/>
    </row>
    <row r="35" spans="1:4" ht="30" customHeight="1" x14ac:dyDescent="0.25">
      <c r="A35" s="10" t="s">
        <v>48</v>
      </c>
      <c r="B35" s="6" t="s">
        <v>49</v>
      </c>
      <c r="C35" s="6"/>
      <c r="D35" s="6"/>
    </row>
    <row r="36" spans="1:4" ht="30" customHeight="1" x14ac:dyDescent="0.25">
      <c r="A36" s="10" t="s">
        <v>50</v>
      </c>
      <c r="B36" s="6" t="s">
        <v>51</v>
      </c>
      <c r="C36" s="6"/>
      <c r="D36" s="6"/>
    </row>
    <row r="37" spans="1:4" ht="30" customHeight="1" x14ac:dyDescent="0.25">
      <c r="A37" s="10" t="s">
        <v>52</v>
      </c>
      <c r="B37" s="6" t="s">
        <v>53</v>
      </c>
      <c r="C37" s="6"/>
      <c r="D37" s="6"/>
    </row>
    <row r="38" spans="1:4" ht="30" customHeight="1" x14ac:dyDescent="0.25">
      <c r="A38" s="10" t="s">
        <v>54</v>
      </c>
      <c r="B38" s="6" t="s">
        <v>55</v>
      </c>
      <c r="C38" s="6"/>
      <c r="D38" s="6"/>
    </row>
    <row r="39" spans="1:4" ht="6" customHeight="1" x14ac:dyDescent="0.25"/>
    <row r="40" spans="1:4" ht="19.5" customHeight="1" x14ac:dyDescent="0.25">
      <c r="A40" s="7" t="s">
        <v>56</v>
      </c>
      <c r="B40" s="7"/>
      <c r="C40" s="7"/>
      <c r="D40" s="7"/>
    </row>
    <row r="41" spans="1:4" ht="30" customHeight="1" x14ac:dyDescent="0.25">
      <c r="A41" s="10" t="s">
        <v>57</v>
      </c>
      <c r="B41" s="6" t="s">
        <v>58</v>
      </c>
      <c r="C41" s="6"/>
      <c r="D41" s="6"/>
    </row>
    <row r="42" spans="1:4" ht="30" customHeight="1" x14ac:dyDescent="0.25">
      <c r="A42" s="10" t="s">
        <v>59</v>
      </c>
      <c r="B42" s="6" t="s">
        <v>60</v>
      </c>
      <c r="C42" s="6"/>
      <c r="D42" s="6"/>
    </row>
    <row r="43" spans="1:4" ht="30" customHeight="1" x14ac:dyDescent="0.25">
      <c r="A43" s="10" t="s">
        <v>61</v>
      </c>
      <c r="B43" s="6" t="s">
        <v>60</v>
      </c>
      <c r="C43" s="6"/>
      <c r="D43" s="6"/>
    </row>
  </sheetData>
  <mergeCells count="40">
    <mergeCell ref="B38:D38"/>
    <mergeCell ref="A40:D40"/>
    <mergeCell ref="B41:D41"/>
    <mergeCell ref="B42:D42"/>
    <mergeCell ref="B43:D43"/>
    <mergeCell ref="B32:D32"/>
    <mergeCell ref="A34:D34"/>
    <mergeCell ref="B35:D35"/>
    <mergeCell ref="B36:D36"/>
    <mergeCell ref="B37:D37"/>
    <mergeCell ref="B27:D27"/>
    <mergeCell ref="B28:D28"/>
    <mergeCell ref="B29:D29"/>
    <mergeCell ref="B30:D30"/>
    <mergeCell ref="B31:D31"/>
    <mergeCell ref="A22:D22"/>
    <mergeCell ref="B23:D23"/>
    <mergeCell ref="B24:D24"/>
    <mergeCell ref="B25:D25"/>
    <mergeCell ref="B26:D26"/>
    <mergeCell ref="B17:D17"/>
    <mergeCell ref="B18:D18"/>
    <mergeCell ref="B19:D19"/>
    <mergeCell ref="B20:D20"/>
    <mergeCell ref="B21:D21"/>
    <mergeCell ref="B12:D12"/>
    <mergeCell ref="B13:D13"/>
    <mergeCell ref="C14:D14"/>
    <mergeCell ref="A15:D15"/>
    <mergeCell ref="B16:D16"/>
    <mergeCell ref="A7:D7"/>
    <mergeCell ref="B8:D8"/>
    <mergeCell ref="B9:D9"/>
    <mergeCell ref="B10:D10"/>
    <mergeCell ref="B11:D11"/>
    <mergeCell ref="A1:D1"/>
    <mergeCell ref="B2:D2"/>
    <mergeCell ref="A4:D4"/>
    <mergeCell ref="B5:D5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4.140625" style="11" customWidth="1"/>
    <col min="2" max="2" width="33.28515625" style="11" customWidth="1"/>
    <col min="3" max="3" width="10.42578125" style="11" customWidth="1"/>
    <col min="4" max="4" width="38.140625" style="11" customWidth="1"/>
    <col min="5" max="5" width="33.28515625" style="11" customWidth="1"/>
    <col min="6" max="16384" width="8.7109375" style="11"/>
  </cols>
  <sheetData>
    <row r="1" spans="1:5" ht="16.5" x14ac:dyDescent="0.25">
      <c r="A1" s="92" t="s">
        <v>62</v>
      </c>
      <c r="B1" s="92"/>
      <c r="C1" s="92"/>
      <c r="D1" s="92"/>
      <c r="E1" s="92"/>
    </row>
    <row r="2" spans="1:5" x14ac:dyDescent="0.25">
      <c r="A2" s="93" t="s">
        <v>63</v>
      </c>
      <c r="B2" s="93"/>
      <c r="C2" s="93"/>
      <c r="D2" s="93"/>
      <c r="E2" s="93"/>
    </row>
    <row r="3" spans="1:5" x14ac:dyDescent="0.25">
      <c r="A3" s="94"/>
      <c r="B3" s="94" t="s">
        <v>64</v>
      </c>
      <c r="C3" s="94" t="s">
        <v>65</v>
      </c>
      <c r="D3" s="94" t="s">
        <v>66</v>
      </c>
      <c r="E3" s="94" t="s">
        <v>67</v>
      </c>
    </row>
    <row r="4" spans="1:5" x14ac:dyDescent="0.25">
      <c r="A4" s="5" t="s">
        <v>68</v>
      </c>
      <c r="B4" s="5"/>
      <c r="C4" s="5"/>
      <c r="D4" s="5"/>
      <c r="E4" s="5"/>
    </row>
    <row r="5" spans="1:5" x14ac:dyDescent="0.25">
      <c r="A5" s="95"/>
      <c r="B5" s="12" t="s">
        <v>69</v>
      </c>
      <c r="C5" s="96" t="s">
        <v>70</v>
      </c>
      <c r="D5" s="13" t="s">
        <v>71</v>
      </c>
      <c r="E5" s="14" t="s">
        <v>72</v>
      </c>
    </row>
    <row r="6" spans="1:5" ht="24" x14ac:dyDescent="0.25">
      <c r="A6" s="95"/>
      <c r="B6" s="12" t="s">
        <v>73</v>
      </c>
      <c r="C6" s="96" t="s">
        <v>74</v>
      </c>
      <c r="D6" s="13" t="s">
        <v>75</v>
      </c>
      <c r="E6" s="14" t="s">
        <v>76</v>
      </c>
    </row>
    <row r="7" spans="1:5" ht="24" x14ac:dyDescent="0.25">
      <c r="A7" s="95"/>
      <c r="B7" s="12" t="s">
        <v>77</v>
      </c>
      <c r="C7" s="96" t="s">
        <v>78</v>
      </c>
      <c r="D7" s="13" t="s">
        <v>79</v>
      </c>
      <c r="E7" s="14" t="s">
        <v>80</v>
      </c>
    </row>
    <row r="8" spans="1:5" x14ac:dyDescent="0.25">
      <c r="A8" s="5" t="s">
        <v>81</v>
      </c>
      <c r="B8" s="5"/>
      <c r="C8" s="5"/>
      <c r="D8" s="5"/>
      <c r="E8" s="5"/>
    </row>
    <row r="9" spans="1:5" x14ac:dyDescent="0.25">
      <c r="A9" s="97"/>
      <c r="B9" s="15" t="s">
        <v>82</v>
      </c>
      <c r="C9" s="98"/>
      <c r="D9" s="16"/>
      <c r="E9" s="17"/>
    </row>
    <row r="10" spans="1:5" ht="24" x14ac:dyDescent="0.25">
      <c r="A10" s="99"/>
      <c r="B10" s="18" t="s">
        <v>83</v>
      </c>
      <c r="C10" s="99" t="s">
        <v>84</v>
      </c>
      <c r="D10" s="19" t="s">
        <v>85</v>
      </c>
      <c r="E10" s="20" t="s">
        <v>86</v>
      </c>
    </row>
    <row r="11" spans="1:5" ht="24" x14ac:dyDescent="0.25">
      <c r="A11" s="99"/>
      <c r="B11" s="18" t="s">
        <v>87</v>
      </c>
      <c r="C11" s="99" t="s">
        <v>88</v>
      </c>
      <c r="D11" s="19" t="s">
        <v>89</v>
      </c>
      <c r="E11" s="20" t="s">
        <v>90</v>
      </c>
    </row>
    <row r="12" spans="1:5" ht="24" x14ac:dyDescent="0.25">
      <c r="A12" s="99"/>
      <c r="B12" s="18" t="s">
        <v>91</v>
      </c>
      <c r="C12" s="99" t="s">
        <v>92</v>
      </c>
      <c r="D12" s="19" t="s">
        <v>93</v>
      </c>
      <c r="E12" s="20" t="s">
        <v>94</v>
      </c>
    </row>
    <row r="13" spans="1:5" ht="24" x14ac:dyDescent="0.25">
      <c r="A13" s="99"/>
      <c r="B13" s="18" t="s">
        <v>95</v>
      </c>
      <c r="C13" s="99" t="s">
        <v>96</v>
      </c>
      <c r="D13" s="19" t="s">
        <v>97</v>
      </c>
      <c r="E13" s="20" t="s">
        <v>98</v>
      </c>
    </row>
    <row r="14" spans="1:5" ht="24" x14ac:dyDescent="0.25">
      <c r="A14" s="99"/>
      <c r="B14" s="18" t="s">
        <v>99</v>
      </c>
      <c r="C14" s="99" t="s">
        <v>96</v>
      </c>
      <c r="D14" s="19" t="s">
        <v>100</v>
      </c>
      <c r="E14" s="20" t="s">
        <v>101</v>
      </c>
    </row>
    <row r="15" spans="1:5" ht="24" x14ac:dyDescent="0.25">
      <c r="A15" s="97"/>
      <c r="B15" s="15" t="s">
        <v>102</v>
      </c>
      <c r="C15" s="98" t="s">
        <v>88</v>
      </c>
      <c r="D15" s="16" t="s">
        <v>103</v>
      </c>
      <c r="E15" s="17" t="s">
        <v>104</v>
      </c>
    </row>
    <row r="16" spans="1:5" ht="25.5" x14ac:dyDescent="0.25">
      <c r="A16" s="97"/>
      <c r="B16" s="15" t="s">
        <v>105</v>
      </c>
      <c r="C16" s="98" t="s">
        <v>92</v>
      </c>
      <c r="D16" s="16" t="s">
        <v>106</v>
      </c>
      <c r="E16" s="17" t="s">
        <v>107</v>
      </c>
    </row>
    <row r="17" spans="1:5" ht="24" x14ac:dyDescent="0.25">
      <c r="A17" s="97"/>
      <c r="B17" s="15" t="s">
        <v>108</v>
      </c>
      <c r="C17" s="98"/>
      <c r="D17" s="16" t="s">
        <v>109</v>
      </c>
      <c r="E17" s="17" t="s">
        <v>110</v>
      </c>
    </row>
    <row r="18" spans="1:5" x14ac:dyDescent="0.25">
      <c r="A18" s="99"/>
      <c r="B18" s="18" t="s">
        <v>111</v>
      </c>
      <c r="C18" s="99" t="s">
        <v>112</v>
      </c>
      <c r="D18" s="19" t="s">
        <v>113</v>
      </c>
      <c r="E18" s="20"/>
    </row>
    <row r="19" spans="1:5" x14ac:dyDescent="0.25">
      <c r="A19" s="99"/>
      <c r="B19" s="18" t="s">
        <v>114</v>
      </c>
      <c r="C19" s="99" t="s">
        <v>88</v>
      </c>
      <c r="D19" s="19" t="s">
        <v>115</v>
      </c>
      <c r="E19" s="20"/>
    </row>
    <row r="20" spans="1:5" ht="24" x14ac:dyDescent="0.25">
      <c r="A20" s="99"/>
      <c r="B20" s="18" t="s">
        <v>116</v>
      </c>
      <c r="C20" s="99" t="s">
        <v>117</v>
      </c>
      <c r="D20" s="19" t="s">
        <v>118</v>
      </c>
      <c r="E20" s="20"/>
    </row>
    <row r="21" spans="1:5" ht="24" x14ac:dyDescent="0.25">
      <c r="A21" s="99"/>
      <c r="B21" s="18" t="s">
        <v>119</v>
      </c>
      <c r="C21" s="99" t="s">
        <v>92</v>
      </c>
      <c r="D21" s="19" t="s">
        <v>120</v>
      </c>
      <c r="E21" s="20"/>
    </row>
    <row r="22" spans="1:5" x14ac:dyDescent="0.25">
      <c r="A22" s="5" t="s">
        <v>121</v>
      </c>
      <c r="B22" s="5"/>
      <c r="C22" s="5"/>
      <c r="D22" s="5"/>
      <c r="E22" s="5"/>
    </row>
    <row r="23" spans="1:5" x14ac:dyDescent="0.25">
      <c r="A23" s="100"/>
      <c r="B23" s="21" t="s">
        <v>122</v>
      </c>
      <c r="C23" s="101"/>
      <c r="D23" s="22"/>
      <c r="E23" s="23"/>
    </row>
    <row r="24" spans="1:5" ht="24" x14ac:dyDescent="0.25">
      <c r="A24" s="99"/>
      <c r="B24" s="18" t="s">
        <v>123</v>
      </c>
      <c r="C24" s="99" t="s">
        <v>84</v>
      </c>
      <c r="D24" s="19" t="s">
        <v>124</v>
      </c>
      <c r="E24" s="20" t="s">
        <v>125</v>
      </c>
    </row>
    <row r="25" spans="1:5" ht="24" x14ac:dyDescent="0.25">
      <c r="A25" s="99"/>
      <c r="B25" s="18" t="s">
        <v>126</v>
      </c>
      <c r="C25" s="99" t="s">
        <v>88</v>
      </c>
      <c r="D25" s="19" t="s">
        <v>127</v>
      </c>
      <c r="E25" s="20" t="s">
        <v>128</v>
      </c>
    </row>
    <row r="26" spans="1:5" ht="24" x14ac:dyDescent="0.25">
      <c r="A26" s="99"/>
      <c r="B26" s="18" t="s">
        <v>129</v>
      </c>
      <c r="C26" s="99" t="s">
        <v>92</v>
      </c>
      <c r="D26" s="19" t="s">
        <v>130</v>
      </c>
      <c r="E26" s="20" t="s">
        <v>131</v>
      </c>
    </row>
    <row r="27" spans="1:5" x14ac:dyDescent="0.25">
      <c r="A27" s="100"/>
      <c r="B27" s="21" t="s">
        <v>82</v>
      </c>
      <c r="C27" s="101"/>
      <c r="D27" s="22"/>
      <c r="E27" s="23"/>
    </row>
    <row r="28" spans="1:5" ht="24" x14ac:dyDescent="0.25">
      <c r="A28" s="99"/>
      <c r="B28" s="18" t="s">
        <v>83</v>
      </c>
      <c r="C28" s="99" t="s">
        <v>84</v>
      </c>
      <c r="D28" s="19" t="s">
        <v>132</v>
      </c>
      <c r="E28" s="20" t="s">
        <v>86</v>
      </c>
    </row>
    <row r="29" spans="1:5" ht="24" x14ac:dyDescent="0.25">
      <c r="A29" s="99"/>
      <c r="B29" s="18" t="s">
        <v>91</v>
      </c>
      <c r="C29" s="99" t="s">
        <v>92</v>
      </c>
      <c r="D29" s="19" t="s">
        <v>133</v>
      </c>
      <c r="E29" s="20" t="s">
        <v>134</v>
      </c>
    </row>
    <row r="30" spans="1:5" ht="24" x14ac:dyDescent="0.25">
      <c r="A30" s="99"/>
      <c r="B30" s="18" t="s">
        <v>95</v>
      </c>
      <c r="C30" s="99" t="s">
        <v>96</v>
      </c>
      <c r="D30" s="19" t="s">
        <v>135</v>
      </c>
      <c r="E30" s="20" t="s">
        <v>136</v>
      </c>
    </row>
    <row r="31" spans="1:5" x14ac:dyDescent="0.25">
      <c r="A31" s="100"/>
      <c r="B31" s="21" t="s">
        <v>137</v>
      </c>
      <c r="C31" s="101"/>
      <c r="D31" s="22"/>
      <c r="E31" s="23"/>
    </row>
    <row r="32" spans="1:5" x14ac:dyDescent="0.25">
      <c r="A32" s="99"/>
      <c r="B32" s="18" t="s">
        <v>138</v>
      </c>
      <c r="C32" s="99" t="s">
        <v>88</v>
      </c>
      <c r="D32" s="19" t="s">
        <v>139</v>
      </c>
      <c r="E32" s="20" t="s">
        <v>140</v>
      </c>
    </row>
    <row r="33" spans="1:5" ht="24" x14ac:dyDescent="0.25">
      <c r="A33" s="99"/>
      <c r="B33" s="18" t="s">
        <v>141</v>
      </c>
      <c r="C33" s="99" t="s">
        <v>92</v>
      </c>
      <c r="D33" s="19" t="s">
        <v>142</v>
      </c>
      <c r="E33" s="20" t="s">
        <v>143</v>
      </c>
    </row>
    <row r="34" spans="1:5" x14ac:dyDescent="0.25">
      <c r="A34" s="5" t="s">
        <v>144</v>
      </c>
      <c r="B34" s="5"/>
      <c r="C34" s="5"/>
      <c r="D34" s="5"/>
      <c r="E34" s="5"/>
    </row>
    <row r="35" spans="1:5" ht="24" x14ac:dyDescent="0.25">
      <c r="A35" s="99"/>
      <c r="B35" s="24" t="s">
        <v>145</v>
      </c>
      <c r="C35" s="102" t="s">
        <v>96</v>
      </c>
      <c r="D35" s="19" t="s">
        <v>146</v>
      </c>
      <c r="E35" s="20" t="s">
        <v>147</v>
      </c>
    </row>
    <row r="36" spans="1:5" ht="24" x14ac:dyDescent="0.25">
      <c r="A36" s="99"/>
      <c r="B36" s="24" t="s">
        <v>148</v>
      </c>
      <c r="C36" s="102" t="s">
        <v>92</v>
      </c>
      <c r="D36" s="19" t="s">
        <v>149</v>
      </c>
      <c r="E36" s="20" t="s">
        <v>150</v>
      </c>
    </row>
    <row r="37" spans="1:5" ht="24" x14ac:dyDescent="0.25">
      <c r="A37" s="99"/>
      <c r="B37" s="24" t="s">
        <v>151</v>
      </c>
      <c r="C37" s="102" t="s">
        <v>92</v>
      </c>
      <c r="D37" s="19" t="s">
        <v>152</v>
      </c>
      <c r="E37" s="20" t="s">
        <v>153</v>
      </c>
    </row>
    <row r="38" spans="1:5" ht="24" x14ac:dyDescent="0.25">
      <c r="A38" s="99"/>
      <c r="B38" s="24" t="s">
        <v>154</v>
      </c>
      <c r="C38" s="102" t="s">
        <v>92</v>
      </c>
      <c r="D38" s="19" t="s">
        <v>155</v>
      </c>
      <c r="E38" s="20" t="s">
        <v>156</v>
      </c>
    </row>
    <row r="39" spans="1:5" ht="16.5" x14ac:dyDescent="0.25">
      <c r="A39" s="103" t="s">
        <v>157</v>
      </c>
      <c r="B39" s="103"/>
      <c r="C39" s="104">
        <v>10</v>
      </c>
      <c r="D39" s="105" t="s">
        <v>158</v>
      </c>
      <c r="E39" s="105"/>
    </row>
    <row r="40" spans="1:5" x14ac:dyDescent="0.25">
      <c r="A40" s="106"/>
      <c r="B40" s="106"/>
      <c r="C40" s="106"/>
      <c r="D40" s="106"/>
      <c r="E40" s="106"/>
    </row>
    <row r="41" spans="1:5" ht="35.25" customHeight="1" x14ac:dyDescent="0.25">
      <c r="A41" s="5" t="s">
        <v>159</v>
      </c>
      <c r="B41" s="5"/>
      <c r="C41" s="5"/>
      <c r="D41" s="5"/>
      <c r="E41" s="5"/>
    </row>
    <row r="42" spans="1:5" ht="29.25" customHeight="1" x14ac:dyDescent="0.25">
      <c r="A42" s="5" t="s">
        <v>160</v>
      </c>
      <c r="B42" s="5"/>
      <c r="C42" s="5"/>
      <c r="D42" s="5"/>
      <c r="E42" s="5"/>
    </row>
    <row r="43" spans="1:5" ht="35.25" customHeight="1" x14ac:dyDescent="0.25">
      <c r="A43" s="5" t="s">
        <v>161</v>
      </c>
      <c r="B43" s="5"/>
      <c r="C43" s="5"/>
      <c r="D43" s="5"/>
      <c r="E43" s="5"/>
    </row>
  </sheetData>
  <mergeCells count="11">
    <mergeCell ref="A43:E43"/>
    <mergeCell ref="A34:E34"/>
    <mergeCell ref="A39:B39"/>
    <mergeCell ref="D39:E39"/>
    <mergeCell ref="A41:E41"/>
    <mergeCell ref="A42:E42"/>
    <mergeCell ref="A1:E1"/>
    <mergeCell ref="A2:E2"/>
    <mergeCell ref="A4:E4"/>
    <mergeCell ref="A8:E8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showGridLines="0" zoomScaleNormal="100" workbookViewId="0">
      <pane ySplit="5" topLeftCell="A6" activePane="bottomLeft" state="frozen"/>
      <selection pane="bottomLeft" activeCell="C9" sqref="C9"/>
    </sheetView>
  </sheetViews>
  <sheetFormatPr defaultColWidth="8.7109375" defaultRowHeight="15" x14ac:dyDescent="0.25"/>
  <cols>
    <col min="1" max="1" width="18" customWidth="1"/>
    <col min="2" max="2" width="23.28515625" customWidth="1"/>
    <col min="3" max="3" width="18" customWidth="1"/>
    <col min="4" max="6" width="10" customWidth="1"/>
    <col min="7" max="7" width="12" customWidth="1"/>
    <col min="8" max="8" width="18.28515625" customWidth="1"/>
    <col min="9" max="9" width="11.42578125" customWidth="1"/>
  </cols>
  <sheetData>
    <row r="1" spans="1:9" ht="27.75" customHeight="1" x14ac:dyDescent="0.25">
      <c r="A1" s="4" t="s">
        <v>162</v>
      </c>
      <c r="B1" s="4"/>
      <c r="C1" s="4"/>
      <c r="D1" s="4"/>
      <c r="E1" s="4"/>
      <c r="F1" s="4"/>
      <c r="G1" s="4"/>
      <c r="H1" s="4"/>
      <c r="I1" s="4"/>
    </row>
    <row r="2" spans="1:9" ht="15.75" customHeight="1" x14ac:dyDescent="0.25">
      <c r="A2" s="3" t="s">
        <v>163</v>
      </c>
      <c r="B2" s="3"/>
      <c r="C2" s="3"/>
      <c r="D2" s="3"/>
      <c r="E2" s="3"/>
      <c r="F2" s="3"/>
      <c r="G2" s="3"/>
      <c r="H2" s="3"/>
      <c r="I2" s="3"/>
    </row>
    <row r="3" spans="1:9" ht="6" customHeight="1" x14ac:dyDescent="0.25"/>
    <row r="4" spans="1:9" ht="18" customHeight="1" x14ac:dyDescent="0.25">
      <c r="A4" s="2" t="s">
        <v>164</v>
      </c>
      <c r="B4" s="2"/>
      <c r="C4" s="2"/>
      <c r="D4" s="2"/>
      <c r="E4" s="2"/>
      <c r="F4" s="2"/>
      <c r="G4" s="2"/>
      <c r="H4" s="2"/>
      <c r="I4" s="2"/>
    </row>
    <row r="5" spans="1:9" ht="31.5" customHeight="1" x14ac:dyDescent="0.25">
      <c r="A5" s="25" t="s">
        <v>165</v>
      </c>
      <c r="B5" s="25" t="s">
        <v>166</v>
      </c>
      <c r="C5" s="25" t="s">
        <v>167</v>
      </c>
      <c r="D5" s="25" t="s">
        <v>168</v>
      </c>
      <c r="E5" s="25" t="s">
        <v>169</v>
      </c>
      <c r="F5" s="25" t="s">
        <v>170</v>
      </c>
      <c r="G5" s="25" t="s">
        <v>171</v>
      </c>
      <c r="H5" s="25" t="s">
        <v>172</v>
      </c>
      <c r="I5" s="25"/>
    </row>
    <row r="6" spans="1:9" ht="19.5" customHeight="1" x14ac:dyDescent="0.25">
      <c r="A6" s="26" t="s">
        <v>173</v>
      </c>
      <c r="B6" s="27">
        <v>3</v>
      </c>
      <c r="C6" s="28">
        <f>SUMIF(TbProcessos[Servidor ◄ EDITAR],"AMANDA",TbProcessos[Total])</f>
        <v>9</v>
      </c>
      <c r="D6" s="29">
        <f>B6+C6</f>
        <v>12</v>
      </c>
      <c r="E6" s="30">
        <v>10</v>
      </c>
      <c r="F6" s="30">
        <f>E6-D6</f>
        <v>-2</v>
      </c>
      <c r="G6" s="31">
        <f>D6/E6</f>
        <v>1.2</v>
      </c>
      <c r="H6" s="29" t="str">
        <f>IF(D6&gt;E6,"⛔ Crítico",IF(D6&gt;=E6-1,"🔴 Atenção",IF(D6&gt;=E6*0.6,"🟡 Moderado","🟢 Disponível")))</f>
        <v>⛔ Crítico</v>
      </c>
    </row>
    <row r="7" spans="1:9" ht="19.5" customHeight="1" x14ac:dyDescent="0.25">
      <c r="A7" s="32" t="s">
        <v>174</v>
      </c>
      <c r="B7" s="27">
        <v>0</v>
      </c>
      <c r="C7" s="28">
        <f>SUMIF(TbProcessos[Servidor ◄ EDITAR],"BEATRIZ",TbProcessos[Total])</f>
        <v>3</v>
      </c>
      <c r="D7" s="33">
        <f>B7+C7</f>
        <v>3</v>
      </c>
      <c r="E7" s="34">
        <v>10</v>
      </c>
      <c r="F7" s="34">
        <f>E7-D7</f>
        <v>7</v>
      </c>
      <c r="G7" s="35">
        <f>D7/E7</f>
        <v>0.3</v>
      </c>
      <c r="H7" s="33" t="str">
        <f>IF(D7&gt;E7,"⛔ Crítico",IF(D7&gt;=E7-1,"🔴 Atenção",IF(D7&gt;=E7*0.6,"🟡 Moderado","🟢 Disponível")))</f>
        <v>🟢 Disponível</v>
      </c>
    </row>
    <row r="8" spans="1:9" ht="19.5" customHeight="1" x14ac:dyDescent="0.25">
      <c r="A8" s="26" t="s">
        <v>175</v>
      </c>
      <c r="B8" s="27">
        <v>0</v>
      </c>
      <c r="C8" s="28">
        <f>SUMIF(TbProcessos[Servidor ◄ EDITAR],"BRUNO",TbProcessos[Total])</f>
        <v>7</v>
      </c>
      <c r="D8" s="29">
        <f>B8+C8</f>
        <v>7</v>
      </c>
      <c r="E8" s="30">
        <v>10</v>
      </c>
      <c r="F8" s="30">
        <f>E8-D8</f>
        <v>3</v>
      </c>
      <c r="G8" s="31">
        <f>D8/E8</f>
        <v>0.7</v>
      </c>
      <c r="H8" s="29" t="str">
        <f>IF(D8&gt;E8,"⛔ Crítico",IF(D8&gt;=E8-1,"🔴 Atenção",IF(D8&gt;=E8*0.6,"🟡 Moderado","🟢 Disponível")))</f>
        <v>🟡 Moderado</v>
      </c>
    </row>
    <row r="9" spans="1:9" ht="19.5" customHeight="1" x14ac:dyDescent="0.25">
      <c r="A9" s="32" t="s">
        <v>176</v>
      </c>
      <c r="B9" s="27">
        <v>2</v>
      </c>
      <c r="C9" s="28">
        <f>SUMIF(TbProcessos[Servidor ◄ EDITAR],"SAMUEL",TbProcessos[Total])</f>
        <v>11</v>
      </c>
      <c r="D9" s="33">
        <f>B9+C9</f>
        <v>13</v>
      </c>
      <c r="E9" s="34">
        <v>10</v>
      </c>
      <c r="F9" s="34">
        <f>E9-D9</f>
        <v>-3</v>
      </c>
      <c r="G9" s="35">
        <f>D9/E9</f>
        <v>1.3</v>
      </c>
      <c r="H9" s="33" t="str">
        <f>IF(D9&gt;E9,"⛔ Crítico",IF(D9&gt;=E9-1,"🔴 Atenção",IF(D9&gt;=E9*0.6,"🟡 Moderado","🟢 Disponível")))</f>
        <v>⛔ Crítico</v>
      </c>
    </row>
    <row r="10" spans="1:9" ht="21.75" customHeight="1" x14ac:dyDescent="0.25">
      <c r="A10" s="36" t="s">
        <v>177</v>
      </c>
      <c r="B10" s="37">
        <f>SUM(B6:B9)</f>
        <v>5</v>
      </c>
      <c r="C10" s="37">
        <f>SUM(C6:C9)</f>
        <v>30</v>
      </c>
      <c r="D10" s="37">
        <f>SUM(D6:D9)</f>
        <v>35</v>
      </c>
      <c r="E10" s="37">
        <f>SUM(E6:E9)</f>
        <v>40</v>
      </c>
      <c r="F10" s="37">
        <f>SUM(F6:F9)</f>
        <v>5</v>
      </c>
      <c r="G10" s="38">
        <f>D10/E10</f>
        <v>0.875</v>
      </c>
    </row>
    <row r="11" spans="1:9" ht="6" customHeight="1" x14ac:dyDescent="0.25"/>
    <row r="12" spans="1:9" ht="18" customHeight="1" x14ac:dyDescent="0.25">
      <c r="A12" s="2" t="s">
        <v>178</v>
      </c>
      <c r="B12" s="2"/>
      <c r="C12" s="2"/>
      <c r="D12" s="2"/>
      <c r="E12" s="2"/>
      <c r="F12" s="2"/>
      <c r="G12" s="2"/>
      <c r="H12" s="2"/>
      <c r="I12" s="2"/>
    </row>
    <row r="13" spans="1:9" ht="24" customHeight="1" x14ac:dyDescent="0.25">
      <c r="A13" s="32" t="s">
        <v>179</v>
      </c>
      <c r="B13" s="39">
        <f>D10/E10</f>
        <v>0.875</v>
      </c>
      <c r="C13" s="40" t="str">
        <f>IF(D10/E10&gt;=0.9,"🔴 Máxima",IF(D10/E10&gt;=0.6,"🟡 Limitada","🟢 Disponível"))</f>
        <v>🟡 Limitada</v>
      </c>
      <c r="D13" s="1" t="str">
        <f>IF(D10/E10&gt;=0.9,"Setor no limite — priorizar conclusão de processos em andamento",IF(D10/E10&gt;=0.6,"Capacidade reduzida — avaliar antes de aceitar novos processos","Setor com folga — pode absorver novos processos normalmente"))</f>
        <v>Capacidade reduzida — avaliar antes de aceitar novos processos</v>
      </c>
      <c r="E13" s="1"/>
      <c r="F13" s="1"/>
      <c r="G13" s="1"/>
      <c r="H13" s="1"/>
      <c r="I13" s="1"/>
    </row>
    <row r="14" spans="1:9" ht="6" customHeight="1" x14ac:dyDescent="0.25"/>
    <row r="15" spans="1:9" ht="18" customHeight="1" x14ac:dyDescent="0.25">
      <c r="A15" s="2" t="s">
        <v>180</v>
      </c>
      <c r="B15" s="2"/>
      <c r="C15" s="2"/>
      <c r="D15" s="2"/>
      <c r="E15" s="2"/>
      <c r="F15" s="2"/>
      <c r="G15" s="2"/>
      <c r="H15" s="2"/>
      <c r="I15" s="2"/>
    </row>
    <row r="16" spans="1:9" ht="36" customHeight="1" x14ac:dyDescent="0.25">
      <c r="A16" s="41" t="s">
        <v>181</v>
      </c>
      <c r="B16" s="42" t="s">
        <v>182</v>
      </c>
      <c r="C16" s="42" t="s">
        <v>183</v>
      </c>
      <c r="D16" s="42" t="s">
        <v>184</v>
      </c>
      <c r="E16" s="42" t="s">
        <v>185</v>
      </c>
      <c r="F16" s="42" t="s">
        <v>186</v>
      </c>
      <c r="G16" s="42" t="s">
        <v>168</v>
      </c>
      <c r="H16" s="42" t="s">
        <v>187</v>
      </c>
      <c r="I16" s="43" t="s">
        <v>67</v>
      </c>
    </row>
    <row r="17" spans="1:9" ht="18" customHeight="1" x14ac:dyDescent="0.25">
      <c r="A17" s="44" t="s">
        <v>175</v>
      </c>
      <c r="B17" s="45" t="s">
        <v>188</v>
      </c>
      <c r="C17" s="27">
        <v>1</v>
      </c>
      <c r="D17" s="27">
        <v>0</v>
      </c>
      <c r="E17" s="27">
        <v>1</v>
      </c>
      <c r="F17" s="27">
        <v>0</v>
      </c>
      <c r="G17" s="46">
        <f>TbProcessos[[#This Row],[Modalidade
(pts) ◄]]+TbProcessos[[#This Row],[Natureza
(pts) ◄]]+TbProcessos[[#This Row],[Sessão
(pts) ◄]]+TbProcessos[[#This Row],[Outros
(pts) ◄]]</f>
        <v>2</v>
      </c>
      <c r="H17" s="27" t="s">
        <v>189</v>
      </c>
      <c r="I17" s="47"/>
    </row>
    <row r="18" spans="1:9" ht="25.5" customHeight="1" x14ac:dyDescent="0.25">
      <c r="A18" s="44" t="s">
        <v>175</v>
      </c>
      <c r="B18" s="48" t="s">
        <v>190</v>
      </c>
      <c r="C18" s="27">
        <v>3</v>
      </c>
      <c r="D18" s="27">
        <v>0</v>
      </c>
      <c r="E18" s="27">
        <v>2</v>
      </c>
      <c r="F18" s="27">
        <v>0</v>
      </c>
      <c r="G18" s="49">
        <f>TbProcessos[[#This Row],[Modalidade
(pts) ◄]]+TbProcessos[[#This Row],[Natureza
(pts) ◄]]+TbProcessos[[#This Row],[Sessão
(pts) ◄]]+TbProcessos[[#This Row],[Outros
(pts) ◄]]</f>
        <v>5</v>
      </c>
      <c r="H18" s="27" t="s">
        <v>189</v>
      </c>
      <c r="I18" s="50" t="s">
        <v>191</v>
      </c>
    </row>
    <row r="19" spans="1:9" ht="27" customHeight="1" x14ac:dyDescent="0.25">
      <c r="A19" s="44" t="s">
        <v>174</v>
      </c>
      <c r="B19" s="45" t="s">
        <v>190</v>
      </c>
      <c r="C19" s="27">
        <v>3</v>
      </c>
      <c r="D19" s="27">
        <v>0</v>
      </c>
      <c r="E19" s="27">
        <v>0</v>
      </c>
      <c r="F19" s="27">
        <v>0</v>
      </c>
      <c r="G19" s="46">
        <f>TbProcessos[[#This Row],[Modalidade
(pts) ◄]]+TbProcessos[[#This Row],[Natureza
(pts) ◄]]+TbProcessos[[#This Row],[Sessão
(pts) ◄]]+TbProcessos[[#This Row],[Outros
(pts) ◄]]</f>
        <v>3</v>
      </c>
      <c r="H19" s="27" t="s">
        <v>192</v>
      </c>
      <c r="I19" s="47"/>
    </row>
    <row r="20" spans="1:9" ht="28.5" customHeight="1" x14ac:dyDescent="0.25">
      <c r="A20" s="44" t="s">
        <v>173</v>
      </c>
      <c r="B20" s="48" t="s">
        <v>193</v>
      </c>
      <c r="C20" s="27">
        <v>3</v>
      </c>
      <c r="D20" s="27">
        <v>3</v>
      </c>
      <c r="E20" s="27">
        <v>0</v>
      </c>
      <c r="F20" s="27">
        <v>0</v>
      </c>
      <c r="G20" s="49">
        <f>TbProcessos[[#This Row],[Modalidade
(pts) ◄]]+TbProcessos[[#This Row],[Natureza
(pts) ◄]]+TbProcessos[[#This Row],[Sessão
(pts) ◄]]+TbProcessos[[#This Row],[Outros
(pts) ◄]]</f>
        <v>6</v>
      </c>
      <c r="H20" s="27" t="s">
        <v>192</v>
      </c>
      <c r="I20" s="50" t="s">
        <v>194</v>
      </c>
    </row>
    <row r="21" spans="1:9" ht="27" customHeight="1" x14ac:dyDescent="0.25">
      <c r="A21" s="44" t="s">
        <v>173</v>
      </c>
      <c r="B21" s="45" t="s">
        <v>190</v>
      </c>
      <c r="C21" s="27">
        <v>3</v>
      </c>
      <c r="D21" s="27">
        <v>0</v>
      </c>
      <c r="E21" s="27">
        <v>0</v>
      </c>
      <c r="F21" s="27">
        <v>0</v>
      </c>
      <c r="G21" s="46">
        <f>TbProcessos[[#This Row],[Modalidade
(pts) ◄]]+TbProcessos[[#This Row],[Natureza
(pts) ◄]]+TbProcessos[[#This Row],[Sessão
(pts) ◄]]+TbProcessos[[#This Row],[Outros
(pts) ◄]]</f>
        <v>3</v>
      </c>
      <c r="H21" s="27" t="s">
        <v>192</v>
      </c>
      <c r="I21" s="47"/>
    </row>
    <row r="22" spans="1:9" ht="28.5" customHeight="1" x14ac:dyDescent="0.25">
      <c r="A22" s="44" t="s">
        <v>176</v>
      </c>
      <c r="B22" s="48" t="s">
        <v>195</v>
      </c>
      <c r="C22" s="27">
        <v>3</v>
      </c>
      <c r="D22" s="27">
        <v>0</v>
      </c>
      <c r="E22" s="27">
        <v>0</v>
      </c>
      <c r="F22" s="27">
        <v>0</v>
      </c>
      <c r="G22" s="49">
        <f>TbProcessos[[#This Row],[Modalidade
(pts) ◄]]+TbProcessos[[#This Row],[Natureza
(pts) ◄]]+TbProcessos[[#This Row],[Sessão
(pts) ◄]]+TbProcessos[[#This Row],[Outros
(pts) ◄]]</f>
        <v>3</v>
      </c>
      <c r="H22" s="27" t="s">
        <v>192</v>
      </c>
      <c r="I22" s="50"/>
    </row>
    <row r="23" spans="1:9" ht="27" customHeight="1" x14ac:dyDescent="0.25">
      <c r="A23" s="44" t="s">
        <v>176</v>
      </c>
      <c r="B23" s="45" t="s">
        <v>196</v>
      </c>
      <c r="C23" s="27">
        <v>3</v>
      </c>
      <c r="D23" s="27">
        <v>0</v>
      </c>
      <c r="E23" s="27">
        <v>0</v>
      </c>
      <c r="F23" s="27">
        <v>0</v>
      </c>
      <c r="G23" s="46">
        <f>TbProcessos[[#This Row],[Modalidade
(pts) ◄]]+TbProcessos[[#This Row],[Natureza
(pts) ◄]]+TbProcessos[[#This Row],[Sessão
(pts) ◄]]+TbProcessos[[#This Row],[Outros
(pts) ◄]]</f>
        <v>3</v>
      </c>
      <c r="H23" s="27" t="s">
        <v>192</v>
      </c>
      <c r="I23" s="47"/>
    </row>
    <row r="24" spans="1:9" ht="23.25" customHeight="1" x14ac:dyDescent="0.25">
      <c r="A24" s="51" t="s">
        <v>176</v>
      </c>
      <c r="B24" s="52" t="s">
        <v>197</v>
      </c>
      <c r="C24" s="53">
        <v>3</v>
      </c>
      <c r="D24" s="53">
        <v>0</v>
      </c>
      <c r="E24" s="53">
        <v>2</v>
      </c>
      <c r="F24" s="53">
        <v>0</v>
      </c>
      <c r="G24" s="54">
        <f>TbProcessos[[#This Row],[Modalidade
(pts) ◄]]+TbProcessos[[#This Row],[Natureza
(pts) ◄]]+TbProcessos[[#This Row],[Sessão
(pts) ◄]]+TbProcessos[[#This Row],[Outros
(pts) ◄]]</f>
        <v>5</v>
      </c>
      <c r="H24" s="53" t="s">
        <v>189</v>
      </c>
      <c r="I24" s="55" t="s">
        <v>191</v>
      </c>
    </row>
    <row r="26" spans="1:9" ht="18" customHeight="1" x14ac:dyDescent="0.25">
      <c r="A26" s="2" t="s">
        <v>198</v>
      </c>
      <c r="B26" s="2"/>
      <c r="C26" s="2"/>
      <c r="D26" s="2"/>
      <c r="E26" s="2"/>
      <c r="F26" s="2"/>
      <c r="G26" s="2"/>
      <c r="H26" s="2"/>
      <c r="I26" s="2"/>
    </row>
    <row r="27" spans="1:9" ht="19.5" customHeight="1" x14ac:dyDescent="0.25">
      <c r="A27" s="56" t="s">
        <v>199</v>
      </c>
      <c r="B27" s="56" t="s">
        <v>200</v>
      </c>
      <c r="C27" s="86" t="s">
        <v>201</v>
      </c>
      <c r="D27" s="86"/>
      <c r="E27" s="86"/>
      <c r="F27" s="86"/>
      <c r="G27" s="86"/>
      <c r="H27" s="86"/>
      <c r="I27" s="86"/>
    </row>
    <row r="28" spans="1:9" ht="19.5" customHeight="1" x14ac:dyDescent="0.25">
      <c r="A28" s="57" t="s">
        <v>202</v>
      </c>
      <c r="B28" s="57" t="s">
        <v>203</v>
      </c>
      <c r="C28" s="87" t="s">
        <v>204</v>
      </c>
      <c r="D28" s="87"/>
      <c r="E28" s="87"/>
      <c r="F28" s="87"/>
      <c r="G28" s="87"/>
      <c r="H28" s="87"/>
      <c r="I28" s="87"/>
    </row>
    <row r="29" spans="1:9" ht="19.5" customHeight="1" x14ac:dyDescent="0.25">
      <c r="A29" s="58" t="s">
        <v>205</v>
      </c>
      <c r="B29" s="58" t="s">
        <v>206</v>
      </c>
      <c r="C29" s="88" t="s">
        <v>207</v>
      </c>
      <c r="D29" s="88"/>
      <c r="E29" s="88"/>
      <c r="F29" s="88"/>
      <c r="G29" s="88"/>
      <c r="H29" s="88"/>
      <c r="I29" s="88"/>
    </row>
  </sheetData>
  <mergeCells count="10">
    <mergeCell ref="A15:I15"/>
    <mergeCell ref="A26:I26"/>
    <mergeCell ref="C27:I27"/>
    <mergeCell ref="C28:I28"/>
    <mergeCell ref="C29:I29"/>
    <mergeCell ref="A1:I1"/>
    <mergeCell ref="A2:I2"/>
    <mergeCell ref="A4:I4"/>
    <mergeCell ref="A12:I12"/>
    <mergeCell ref="D13:I13"/>
  </mergeCells>
  <conditionalFormatting sqref="H6:H9">
    <cfRule type="containsText" dxfId="27" priority="2" operator="containsText" text="Disponível">
      <formula>NOT(ISERROR(SEARCH("Disponível",H6)))</formula>
    </cfRule>
    <cfRule type="containsText" dxfId="26" priority="3" operator="containsText" text="Moderado">
      <formula>NOT(ISERROR(SEARCH("Moderado",H6)))</formula>
    </cfRule>
    <cfRule type="containsText" dxfId="25" priority="4" operator="containsText" text="Atenção">
      <formula>NOT(ISERROR(SEARCH("Atenção",H6)))</formula>
    </cfRule>
    <cfRule type="containsText" dxfId="24" priority="5" operator="containsText" text="Crítico">
      <formula>NOT(ISERROR(SEARCH("Crítico",H6)))</formula>
    </cfRule>
  </conditionalFormatting>
  <conditionalFormatting sqref="C13">
    <cfRule type="containsText" dxfId="23" priority="6" operator="containsText" text="Disponível">
      <formula>NOT(ISERROR(SEARCH("Disponível",C13)))</formula>
    </cfRule>
    <cfRule type="containsText" dxfId="22" priority="7" operator="containsText" text="Limitada">
      <formula>NOT(ISERROR(SEARCH("Limitada",C13)))</formula>
    </cfRule>
    <cfRule type="containsText" dxfId="21" priority="8" operator="containsText" text="Máxima">
      <formula>NOT(ISERROR(SEARCH("Máxima",C13)))</formula>
    </cfRule>
  </conditionalFormatting>
  <conditionalFormatting sqref="D13">
    <cfRule type="containsText" dxfId="20" priority="9" operator="containsText" text="folga">
      <formula>NOT(ISERROR(SEARCH("folga",D13)))</formula>
    </cfRule>
    <cfRule type="containsText" dxfId="19" priority="10" operator="containsText" text="reduzida">
      <formula>NOT(ISERROR(SEARCH("reduzida",D13)))</formula>
    </cfRule>
    <cfRule type="containsText" dxfId="18" priority="11" operator="containsText" text="limite">
      <formula>NOT(ISERROR(SEARCH("limite",D13)))</formula>
    </cfRule>
  </conditionalFormatting>
  <conditionalFormatting sqref="G17:G200">
    <cfRule type="cellIs" dxfId="17" priority="12" operator="greaterThanOrEqual">
      <formula>6</formula>
    </cfRule>
    <cfRule type="cellIs" dxfId="16" priority="13" operator="between">
      <formula>3</formula>
      <formula>5</formula>
    </cfRule>
    <cfRule type="cellIs" dxfId="15" priority="14" operator="between">
      <formula>1</formula>
      <formula>2</formula>
    </cfRule>
  </conditionalFormatting>
  <dataValidations count="2">
    <dataValidation type="list" allowBlank="1" showInputMessage="1" showErrorMessage="1" errorTitle="Nome inválido" error="Escolha um servidor da lista: AMANDA, BEATRIZ, BRUNO ou SAMUEL." promptTitle="Servidor" prompt="Selecione o servidor responsável pelo processo." sqref="A17:A200" xr:uid="{00000000-0002-0000-0200-000000000000}">
      <formula1>"AMANDA,BEATRIZ,BRUNO,SAMUEL"</formula1>
      <formula2>0</formula2>
    </dataValidation>
    <dataValidation type="list" allowBlank="1" showInputMessage="1" showErrorMessage="1" errorTitle="Fase inválida" error="Escolha: Fase Interna, Fase Externa, Concluído ou Suspenso." promptTitle="Fase Atual" prompt="Selecione a fase atual do processo." sqref="H17:H200" xr:uid="{00000000-0002-0000-0200-000001000000}">
      <formula1>"Fase Interna,Fase Externa,Concluído,Suspenso"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4" sqref="E4"/>
    </sheetView>
  </sheetViews>
  <sheetFormatPr defaultColWidth="14.42578125" defaultRowHeight="15" customHeight="1" x14ac:dyDescent="0.25"/>
  <cols>
    <col min="1" max="1" width="24.7109375" style="59" customWidth="1"/>
    <col min="2" max="2" width="34.28515625" style="59" customWidth="1"/>
    <col min="3" max="3" width="19" style="59" customWidth="1"/>
    <col min="4" max="4" width="16.140625" style="59" customWidth="1"/>
    <col min="5" max="5" width="32.42578125" style="59" customWidth="1"/>
    <col min="6" max="6" width="12.42578125" style="59" customWidth="1"/>
    <col min="7" max="7" width="19" style="59" customWidth="1"/>
    <col min="8" max="8" width="15.28515625" style="59" customWidth="1"/>
    <col min="9" max="26" width="8.7109375" style="59" customWidth="1"/>
    <col min="27" max="16384" width="14.42578125" style="59"/>
  </cols>
  <sheetData>
    <row r="1" spans="1:8" ht="15.75" x14ac:dyDescent="0.25">
      <c r="A1" s="107" t="s">
        <v>208</v>
      </c>
      <c r="B1" s="107"/>
      <c r="C1" s="107"/>
      <c r="D1" s="107"/>
      <c r="E1" s="107"/>
      <c r="F1" s="107"/>
      <c r="G1" s="107"/>
      <c r="H1" s="107"/>
    </row>
    <row r="2" spans="1:8" x14ac:dyDescent="0.25">
      <c r="A2" s="89" t="s">
        <v>209</v>
      </c>
      <c r="B2" s="89"/>
      <c r="C2" s="89"/>
      <c r="D2" s="89"/>
      <c r="E2" s="89"/>
      <c r="F2" s="89"/>
      <c r="G2" s="89"/>
      <c r="H2" s="89"/>
    </row>
    <row r="3" spans="1:8" x14ac:dyDescent="0.25">
      <c r="A3" s="60" t="s">
        <v>210</v>
      </c>
      <c r="B3" s="60" t="s">
        <v>211</v>
      </c>
      <c r="C3" s="60" t="s">
        <v>212</v>
      </c>
      <c r="D3" s="60" t="s">
        <v>213</v>
      </c>
      <c r="E3" s="60" t="s">
        <v>214</v>
      </c>
      <c r="F3" s="60" t="s">
        <v>215</v>
      </c>
      <c r="G3" s="60" t="s">
        <v>216</v>
      </c>
      <c r="H3" s="60" t="s">
        <v>172</v>
      </c>
    </row>
    <row r="4" spans="1:8" ht="60" x14ac:dyDescent="0.25">
      <c r="A4" s="60" t="s">
        <v>217</v>
      </c>
      <c r="B4" s="60" t="s">
        <v>218</v>
      </c>
      <c r="C4" s="60" t="s">
        <v>219</v>
      </c>
      <c r="D4" s="60" t="s">
        <v>220</v>
      </c>
      <c r="E4" s="60" t="s">
        <v>221</v>
      </c>
      <c r="F4" s="60" t="s">
        <v>222</v>
      </c>
      <c r="G4" s="60" t="s">
        <v>223</v>
      </c>
      <c r="H4" s="60" t="s">
        <v>224</v>
      </c>
    </row>
    <row r="5" spans="1:8" ht="60" x14ac:dyDescent="0.25">
      <c r="A5" s="60" t="s">
        <v>225</v>
      </c>
      <c r="B5" s="60" t="s">
        <v>226</v>
      </c>
      <c r="C5" s="60" t="s">
        <v>227</v>
      </c>
      <c r="D5" s="60" t="s">
        <v>220</v>
      </c>
      <c r="E5" s="60" t="s">
        <v>228</v>
      </c>
      <c r="F5" s="60" t="s">
        <v>229</v>
      </c>
      <c r="G5" s="60" t="s">
        <v>230</v>
      </c>
      <c r="H5" s="60" t="s">
        <v>224</v>
      </c>
    </row>
    <row r="6" spans="1:8" ht="36" x14ac:dyDescent="0.25">
      <c r="A6" s="60" t="s">
        <v>231</v>
      </c>
      <c r="B6" s="60"/>
      <c r="C6" s="60" t="s">
        <v>232</v>
      </c>
      <c r="D6" s="60" t="s">
        <v>220</v>
      </c>
      <c r="E6" s="60" t="s">
        <v>233</v>
      </c>
      <c r="F6" s="60"/>
      <c r="G6" s="60" t="s">
        <v>230</v>
      </c>
      <c r="H6" s="60" t="s">
        <v>234</v>
      </c>
    </row>
    <row r="7" spans="1:8" ht="60" x14ac:dyDescent="0.25">
      <c r="A7" s="60" t="s">
        <v>235</v>
      </c>
      <c r="B7" s="60" t="s">
        <v>236</v>
      </c>
      <c r="C7" s="60" t="s">
        <v>237</v>
      </c>
      <c r="D7" s="60" t="s">
        <v>220</v>
      </c>
      <c r="E7" s="60" t="s">
        <v>233</v>
      </c>
      <c r="F7" s="60" t="s">
        <v>238</v>
      </c>
      <c r="G7" s="60" t="s">
        <v>230</v>
      </c>
      <c r="H7" s="60" t="s">
        <v>234</v>
      </c>
    </row>
    <row r="8" spans="1:8" ht="60" x14ac:dyDescent="0.25">
      <c r="A8" s="60" t="s">
        <v>239</v>
      </c>
      <c r="B8" s="60" t="s">
        <v>240</v>
      </c>
      <c r="C8" s="60" t="s">
        <v>241</v>
      </c>
      <c r="D8" s="60" t="s">
        <v>220</v>
      </c>
      <c r="E8" s="61">
        <v>45839</v>
      </c>
      <c r="F8" s="60" t="s">
        <v>242</v>
      </c>
      <c r="G8" s="60" t="s">
        <v>230</v>
      </c>
      <c r="H8" s="60" t="s">
        <v>224</v>
      </c>
    </row>
    <row r="9" spans="1:8" ht="72" x14ac:dyDescent="0.25">
      <c r="A9" s="60" t="s">
        <v>243</v>
      </c>
      <c r="B9" s="60" t="s">
        <v>244</v>
      </c>
      <c r="C9" s="60" t="s">
        <v>245</v>
      </c>
      <c r="D9" s="60" t="s">
        <v>220</v>
      </c>
      <c r="E9" s="60" t="s">
        <v>246</v>
      </c>
      <c r="F9" s="60"/>
      <c r="G9" s="60" t="s">
        <v>230</v>
      </c>
      <c r="H9" s="60" t="s">
        <v>234</v>
      </c>
    </row>
    <row r="10" spans="1:8" ht="48" x14ac:dyDescent="0.25">
      <c r="A10" s="60" t="s">
        <v>247</v>
      </c>
      <c r="B10" s="60"/>
      <c r="C10" s="60" t="s">
        <v>248</v>
      </c>
      <c r="D10" s="60" t="s">
        <v>249</v>
      </c>
      <c r="E10" s="60" t="s">
        <v>250</v>
      </c>
      <c r="F10" s="60"/>
      <c r="G10" s="60" t="s">
        <v>230</v>
      </c>
      <c r="H10" s="60" t="s">
        <v>234</v>
      </c>
    </row>
    <row r="11" spans="1:8" ht="72" x14ac:dyDescent="0.25">
      <c r="A11" s="60" t="s">
        <v>251</v>
      </c>
      <c r="B11" s="60"/>
      <c r="C11" s="60" t="s">
        <v>252</v>
      </c>
      <c r="D11" s="60" t="s">
        <v>249</v>
      </c>
      <c r="E11" s="60" t="s">
        <v>253</v>
      </c>
      <c r="F11" s="60"/>
      <c r="G11" s="60" t="s">
        <v>230</v>
      </c>
      <c r="H11" s="60" t="s">
        <v>234</v>
      </c>
    </row>
    <row r="12" spans="1:8" ht="72" x14ac:dyDescent="0.25">
      <c r="A12" s="60" t="s">
        <v>254</v>
      </c>
      <c r="B12" s="60"/>
      <c r="C12" s="60" t="s">
        <v>255</v>
      </c>
      <c r="D12" s="60" t="s">
        <v>249</v>
      </c>
      <c r="E12" s="60" t="s">
        <v>256</v>
      </c>
      <c r="F12" s="60"/>
      <c r="G12" s="60" t="s">
        <v>230</v>
      </c>
      <c r="H12" s="60" t="s">
        <v>234</v>
      </c>
    </row>
    <row r="13" spans="1:8" ht="60" x14ac:dyDescent="0.25">
      <c r="A13" s="60" t="s">
        <v>257</v>
      </c>
      <c r="B13" s="60" t="s">
        <v>258</v>
      </c>
      <c r="C13" s="60" t="s">
        <v>259</v>
      </c>
      <c r="D13" s="60" t="s">
        <v>249</v>
      </c>
      <c r="E13" s="60" t="s">
        <v>260</v>
      </c>
      <c r="F13" s="60" t="s">
        <v>261</v>
      </c>
      <c r="G13" s="60" t="s">
        <v>230</v>
      </c>
      <c r="H13" s="60" t="s">
        <v>224</v>
      </c>
    </row>
    <row r="14" spans="1:8" ht="72" x14ac:dyDescent="0.25">
      <c r="A14" s="60" t="s">
        <v>262</v>
      </c>
      <c r="B14" s="60" t="s">
        <v>263</v>
      </c>
      <c r="C14" s="60" t="s">
        <v>264</v>
      </c>
      <c r="D14" s="60" t="s">
        <v>249</v>
      </c>
      <c r="E14" s="60" t="s">
        <v>265</v>
      </c>
      <c r="F14" s="60" t="s">
        <v>266</v>
      </c>
      <c r="G14" s="60" t="s">
        <v>230</v>
      </c>
      <c r="H14" s="60" t="s">
        <v>224</v>
      </c>
    </row>
    <row r="15" spans="1:8" ht="60" x14ac:dyDescent="0.25">
      <c r="A15" s="60" t="s">
        <v>267</v>
      </c>
      <c r="B15" s="60" t="s">
        <v>268</v>
      </c>
      <c r="C15" s="60" t="s">
        <v>269</v>
      </c>
      <c r="D15" s="60" t="s">
        <v>220</v>
      </c>
      <c r="E15" s="60" t="s">
        <v>270</v>
      </c>
      <c r="F15" s="60" t="s">
        <v>271</v>
      </c>
      <c r="G15" s="60" t="s">
        <v>223</v>
      </c>
      <c r="H15" s="60" t="s">
        <v>224</v>
      </c>
    </row>
    <row r="16" spans="1:8" ht="60" x14ac:dyDescent="0.25">
      <c r="A16" s="60" t="s">
        <v>272</v>
      </c>
      <c r="B16" s="60" t="s">
        <v>273</v>
      </c>
      <c r="C16" s="60" t="s">
        <v>274</v>
      </c>
      <c r="D16" s="60" t="s">
        <v>220</v>
      </c>
      <c r="E16" s="61">
        <v>45846</v>
      </c>
      <c r="F16" s="60" t="s">
        <v>275</v>
      </c>
      <c r="G16" s="60" t="s">
        <v>223</v>
      </c>
      <c r="H16" s="60" t="s">
        <v>224</v>
      </c>
    </row>
    <row r="17" spans="1:8" ht="60" x14ac:dyDescent="0.25">
      <c r="A17" s="60" t="s">
        <v>276</v>
      </c>
      <c r="B17" s="60" t="s">
        <v>277</v>
      </c>
      <c r="C17" s="60" t="s">
        <v>278</v>
      </c>
      <c r="D17" s="60" t="s">
        <v>220</v>
      </c>
      <c r="E17" s="61">
        <v>45849</v>
      </c>
      <c r="F17" s="60" t="s">
        <v>279</v>
      </c>
      <c r="G17" s="60" t="s">
        <v>223</v>
      </c>
      <c r="H17" s="60" t="s">
        <v>224</v>
      </c>
    </row>
    <row r="18" spans="1:8" ht="60" x14ac:dyDescent="0.25">
      <c r="A18" s="60" t="s">
        <v>280</v>
      </c>
      <c r="B18" s="60" t="s">
        <v>281</v>
      </c>
      <c r="C18" s="60" t="s">
        <v>282</v>
      </c>
      <c r="D18" s="60" t="s">
        <v>220</v>
      </c>
      <c r="E18" s="60" t="s">
        <v>256</v>
      </c>
      <c r="F18" s="60" t="s">
        <v>283</v>
      </c>
      <c r="G18" s="60" t="s">
        <v>230</v>
      </c>
      <c r="H18" s="60" t="s">
        <v>224</v>
      </c>
    </row>
    <row r="19" spans="1:8" x14ac:dyDescent="0.25">
      <c r="A19" s="62"/>
      <c r="B19" s="62"/>
      <c r="C19" s="62"/>
      <c r="D19" s="62"/>
      <c r="E19" s="63"/>
      <c r="F19" s="62"/>
      <c r="G19" s="62"/>
      <c r="H19" s="62"/>
    </row>
    <row r="20" spans="1:8" x14ac:dyDescent="0.25">
      <c r="A20" s="62"/>
      <c r="B20" s="62"/>
      <c r="C20" s="60" t="s">
        <v>284</v>
      </c>
      <c r="D20" s="62"/>
      <c r="E20" s="62"/>
      <c r="F20" s="62"/>
      <c r="G20" s="62"/>
      <c r="H20" s="62"/>
    </row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H1"/>
    <mergeCell ref="A2:H2"/>
  </mergeCells>
  <hyperlinks>
    <hyperlink ref="F7" r:id="rId1" xr:uid="{00000000-0004-0000-0300-000000000000}"/>
    <hyperlink ref="F8" r:id="rId2" xr:uid="{00000000-0004-0000-0300-000001000000}"/>
    <hyperlink ref="F17" r:id="rId3" xr:uid="{00000000-0004-0000-0300-000002000000}"/>
  </hyperlink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showGridLines="0" zoomScaleNormal="100" workbookViewId="0">
      <pane ySplit="2" topLeftCell="A3" activePane="bottomLeft" state="frozen"/>
      <selection pane="bottomLeft" activeCell="H139" sqref="H139"/>
    </sheetView>
  </sheetViews>
  <sheetFormatPr defaultColWidth="14.42578125" defaultRowHeight="15" customHeight="1" x14ac:dyDescent="0.25"/>
  <cols>
    <col min="1" max="1" width="14" style="59" hidden="1" customWidth="1"/>
    <col min="2" max="2" width="5" style="59" customWidth="1"/>
    <col min="3" max="3" width="32" style="59" customWidth="1"/>
    <col min="4" max="4" width="10" style="59" customWidth="1"/>
    <col min="5" max="5" width="22" style="59" customWidth="1"/>
    <col min="6" max="6" width="10" style="59" customWidth="1"/>
    <col min="7" max="7" width="14" style="59" customWidth="1"/>
    <col min="8" max="8" width="45" style="59" customWidth="1"/>
    <col min="9" max="9" width="22" style="59" customWidth="1"/>
    <col min="10" max="26" width="8.7109375" style="59" customWidth="1"/>
    <col min="27" max="16384" width="14.42578125" style="59"/>
  </cols>
  <sheetData>
    <row r="1" spans="1:9" ht="25.5" customHeight="1" x14ac:dyDescent="0.25">
      <c r="A1" s="90" t="s">
        <v>285</v>
      </c>
      <c r="B1" s="90"/>
      <c r="C1" s="90"/>
      <c r="D1" s="90"/>
      <c r="E1" s="90"/>
      <c r="F1" s="90"/>
      <c r="G1" s="90"/>
      <c r="H1" s="90"/>
      <c r="I1" s="90"/>
    </row>
    <row r="2" spans="1:9" ht="27.75" customHeight="1" x14ac:dyDescent="0.25">
      <c r="A2" s="64" t="s">
        <v>210</v>
      </c>
      <c r="B2" s="64" t="s">
        <v>286</v>
      </c>
      <c r="C2" s="64" t="s">
        <v>287</v>
      </c>
      <c r="D2" s="64" t="s">
        <v>288</v>
      </c>
      <c r="E2" s="64" t="s">
        <v>289</v>
      </c>
      <c r="F2" s="64" t="s">
        <v>290</v>
      </c>
      <c r="G2" s="65" t="s">
        <v>57</v>
      </c>
      <c r="H2" s="65" t="s">
        <v>59</v>
      </c>
      <c r="I2" s="65" t="s">
        <v>61</v>
      </c>
    </row>
    <row r="3" spans="1:9" ht="18" customHeight="1" x14ac:dyDescent="0.25">
      <c r="A3" s="91" t="s">
        <v>291</v>
      </c>
      <c r="B3" s="91"/>
      <c r="C3" s="91"/>
      <c r="D3" s="91"/>
      <c r="E3" s="91"/>
      <c r="F3" s="91"/>
      <c r="G3" s="91"/>
      <c r="H3" s="91"/>
      <c r="I3" s="91"/>
    </row>
    <row r="4" spans="1:9" ht="19.5" customHeight="1" x14ac:dyDescent="0.25">
      <c r="A4" s="66" t="s">
        <v>217</v>
      </c>
      <c r="B4" s="67">
        <v>1</v>
      </c>
      <c r="C4" s="66" t="s">
        <v>29</v>
      </c>
      <c r="D4" s="67" t="s">
        <v>292</v>
      </c>
      <c r="E4" s="67" t="s">
        <v>293</v>
      </c>
      <c r="F4" s="67">
        <v>5</v>
      </c>
      <c r="G4" s="67"/>
      <c r="H4" s="68"/>
      <c r="I4" s="67" t="s">
        <v>294</v>
      </c>
    </row>
    <row r="5" spans="1:9" ht="19.5" customHeight="1" x14ac:dyDescent="0.25">
      <c r="A5" s="69" t="s">
        <v>217</v>
      </c>
      <c r="B5" s="70">
        <v>2</v>
      </c>
      <c r="C5" s="69" t="s">
        <v>31</v>
      </c>
      <c r="D5" s="70" t="s">
        <v>292</v>
      </c>
      <c r="E5" s="70" t="s">
        <v>295</v>
      </c>
      <c r="F5" s="70">
        <v>45</v>
      </c>
      <c r="G5" s="70"/>
      <c r="H5" s="71" t="s">
        <v>296</v>
      </c>
      <c r="I5" s="70" t="s">
        <v>224</v>
      </c>
    </row>
    <row r="6" spans="1:9" ht="19.5" customHeight="1" x14ac:dyDescent="0.25">
      <c r="A6" s="69" t="s">
        <v>217</v>
      </c>
      <c r="B6" s="70">
        <v>3</v>
      </c>
      <c r="C6" s="69" t="s">
        <v>33</v>
      </c>
      <c r="D6" s="70" t="s">
        <v>292</v>
      </c>
      <c r="E6" s="70" t="s">
        <v>295</v>
      </c>
      <c r="F6" s="70">
        <v>10</v>
      </c>
      <c r="G6" s="70"/>
      <c r="H6" s="71"/>
      <c r="I6" s="70" t="s">
        <v>224</v>
      </c>
    </row>
    <row r="7" spans="1:9" ht="19.5" customHeight="1" x14ac:dyDescent="0.25">
      <c r="A7" s="72" t="s">
        <v>217</v>
      </c>
      <c r="B7" s="73">
        <v>4</v>
      </c>
      <c r="C7" s="72" t="s">
        <v>297</v>
      </c>
      <c r="D7" s="73" t="s">
        <v>292</v>
      </c>
      <c r="E7" s="73" t="s">
        <v>298</v>
      </c>
      <c r="F7" s="73">
        <v>15</v>
      </c>
      <c r="G7" s="73"/>
      <c r="H7" s="74"/>
      <c r="I7" s="73" t="s">
        <v>299</v>
      </c>
    </row>
    <row r="8" spans="1:9" ht="19.5" customHeight="1" x14ac:dyDescent="0.25">
      <c r="A8" s="75" t="s">
        <v>217</v>
      </c>
      <c r="B8" s="76">
        <v>5</v>
      </c>
      <c r="C8" s="75" t="s">
        <v>37</v>
      </c>
      <c r="D8" s="76" t="s">
        <v>292</v>
      </c>
      <c r="E8" s="76" t="s">
        <v>295</v>
      </c>
      <c r="F8" s="76">
        <v>10</v>
      </c>
      <c r="G8" s="76"/>
      <c r="H8" s="77"/>
      <c r="I8" s="76" t="s">
        <v>300</v>
      </c>
    </row>
    <row r="9" spans="1:9" ht="19.5" customHeight="1" x14ac:dyDescent="0.25">
      <c r="A9" s="75" t="s">
        <v>217</v>
      </c>
      <c r="B9" s="76">
        <v>6</v>
      </c>
      <c r="C9" s="75" t="s">
        <v>38</v>
      </c>
      <c r="D9" s="76" t="s">
        <v>292</v>
      </c>
      <c r="E9" s="76" t="s">
        <v>295</v>
      </c>
      <c r="F9" s="76">
        <v>10</v>
      </c>
      <c r="G9" s="76"/>
      <c r="H9" s="77"/>
      <c r="I9" s="76" t="s">
        <v>300</v>
      </c>
    </row>
    <row r="10" spans="1:9" ht="19.5" customHeight="1" x14ac:dyDescent="0.25">
      <c r="A10" s="75" t="s">
        <v>217</v>
      </c>
      <c r="B10" s="76">
        <v>7</v>
      </c>
      <c r="C10" s="75" t="s">
        <v>301</v>
      </c>
      <c r="D10" s="76" t="s">
        <v>292</v>
      </c>
      <c r="E10" s="76" t="s">
        <v>295</v>
      </c>
      <c r="F10" s="76">
        <v>3</v>
      </c>
      <c r="G10" s="76"/>
      <c r="H10" s="77"/>
      <c r="I10" s="76" t="s">
        <v>300</v>
      </c>
    </row>
    <row r="11" spans="1:9" ht="19.5" customHeight="1" x14ac:dyDescent="0.25">
      <c r="A11" s="75" t="s">
        <v>217</v>
      </c>
      <c r="B11" s="76">
        <v>8</v>
      </c>
      <c r="C11" s="75" t="s">
        <v>302</v>
      </c>
      <c r="D11" s="76" t="s">
        <v>303</v>
      </c>
      <c r="E11" s="76" t="s">
        <v>298</v>
      </c>
      <c r="F11" s="76">
        <v>90</v>
      </c>
      <c r="G11" s="76"/>
      <c r="H11" s="77"/>
      <c r="I11" s="76" t="s">
        <v>300</v>
      </c>
    </row>
    <row r="12" spans="1:9" ht="19.5" customHeight="1" x14ac:dyDescent="0.25">
      <c r="A12" s="75" t="s">
        <v>217</v>
      </c>
      <c r="B12" s="76">
        <v>9</v>
      </c>
      <c r="C12" s="75" t="s">
        <v>304</v>
      </c>
      <c r="D12" s="76" t="s">
        <v>305</v>
      </c>
      <c r="E12" s="76" t="s">
        <v>306</v>
      </c>
      <c r="F12" s="76">
        <v>20</v>
      </c>
      <c r="G12" s="76"/>
      <c r="H12" s="77"/>
      <c r="I12" s="76" t="s">
        <v>300</v>
      </c>
    </row>
    <row r="13" spans="1:9" ht="18" customHeight="1" x14ac:dyDescent="0.25">
      <c r="A13" s="91" t="s">
        <v>307</v>
      </c>
      <c r="B13" s="91"/>
      <c r="C13" s="91"/>
      <c r="D13" s="91"/>
      <c r="E13" s="91"/>
      <c r="F13" s="91"/>
      <c r="G13" s="91"/>
      <c r="H13" s="91"/>
      <c r="I13" s="91"/>
    </row>
    <row r="14" spans="1:9" ht="19.5" customHeight="1" x14ac:dyDescent="0.25">
      <c r="A14" s="66" t="s">
        <v>225</v>
      </c>
      <c r="B14" s="67">
        <v>1</v>
      </c>
      <c r="C14" s="66" t="s">
        <v>29</v>
      </c>
      <c r="D14" s="67" t="s">
        <v>292</v>
      </c>
      <c r="E14" s="67" t="s">
        <v>293</v>
      </c>
      <c r="F14" s="67">
        <v>5</v>
      </c>
      <c r="G14" s="67"/>
      <c r="H14" s="68"/>
      <c r="I14" s="67" t="s">
        <v>294</v>
      </c>
    </row>
    <row r="15" spans="1:9" ht="19.5" customHeight="1" x14ac:dyDescent="0.25">
      <c r="A15" s="66" t="s">
        <v>225</v>
      </c>
      <c r="B15" s="67">
        <v>2</v>
      </c>
      <c r="C15" s="66" t="s">
        <v>31</v>
      </c>
      <c r="D15" s="67" t="s">
        <v>292</v>
      </c>
      <c r="E15" s="67" t="s">
        <v>295</v>
      </c>
      <c r="F15" s="67">
        <v>45</v>
      </c>
      <c r="G15" s="67"/>
      <c r="H15" s="68"/>
      <c r="I15" s="67" t="s">
        <v>294</v>
      </c>
    </row>
    <row r="16" spans="1:9" ht="19.5" customHeight="1" x14ac:dyDescent="0.25">
      <c r="A16" s="66" t="s">
        <v>225</v>
      </c>
      <c r="B16" s="67">
        <v>3</v>
      </c>
      <c r="C16" s="66" t="s">
        <v>33</v>
      </c>
      <c r="D16" s="67" t="s">
        <v>292</v>
      </c>
      <c r="E16" s="67" t="s">
        <v>295</v>
      </c>
      <c r="F16" s="67">
        <v>10</v>
      </c>
      <c r="G16" s="67"/>
      <c r="H16" s="68"/>
      <c r="I16" s="67" t="s">
        <v>294</v>
      </c>
    </row>
    <row r="17" spans="1:9" ht="19.5" customHeight="1" x14ac:dyDescent="0.25">
      <c r="A17" s="66" t="s">
        <v>225</v>
      </c>
      <c r="B17" s="67">
        <v>4</v>
      </c>
      <c r="C17" s="66" t="s">
        <v>37</v>
      </c>
      <c r="D17" s="67" t="s">
        <v>292</v>
      </c>
      <c r="E17" s="67" t="s">
        <v>295</v>
      </c>
      <c r="F17" s="67">
        <v>10</v>
      </c>
      <c r="G17" s="67"/>
      <c r="H17" s="68"/>
      <c r="I17" s="67" t="s">
        <v>294</v>
      </c>
    </row>
    <row r="18" spans="1:9" ht="19.5" customHeight="1" x14ac:dyDescent="0.25">
      <c r="A18" s="66" t="s">
        <v>225</v>
      </c>
      <c r="B18" s="67">
        <v>5</v>
      </c>
      <c r="C18" s="66" t="s">
        <v>38</v>
      </c>
      <c r="D18" s="67" t="s">
        <v>292</v>
      </c>
      <c r="E18" s="67" t="s">
        <v>295</v>
      </c>
      <c r="F18" s="67">
        <v>10</v>
      </c>
      <c r="G18" s="67"/>
      <c r="H18" s="68"/>
      <c r="I18" s="67" t="s">
        <v>294</v>
      </c>
    </row>
    <row r="19" spans="1:9" ht="19.5" customHeight="1" x14ac:dyDescent="0.25">
      <c r="A19" s="69" t="s">
        <v>225</v>
      </c>
      <c r="B19" s="70">
        <v>6</v>
      </c>
      <c r="C19" s="69" t="s">
        <v>301</v>
      </c>
      <c r="D19" s="70" t="s">
        <v>292</v>
      </c>
      <c r="E19" s="70" t="s">
        <v>295</v>
      </c>
      <c r="F19" s="70">
        <v>3</v>
      </c>
      <c r="G19" s="70"/>
      <c r="H19" s="71"/>
      <c r="I19" s="70" t="s">
        <v>224</v>
      </c>
    </row>
    <row r="20" spans="1:9" ht="19.5" customHeight="1" x14ac:dyDescent="0.25">
      <c r="A20" s="69" t="s">
        <v>225</v>
      </c>
      <c r="B20" s="70">
        <v>7</v>
      </c>
      <c r="C20" s="69" t="s">
        <v>302</v>
      </c>
      <c r="D20" s="70" t="s">
        <v>303</v>
      </c>
      <c r="E20" s="70" t="s">
        <v>298</v>
      </c>
      <c r="F20" s="70">
        <v>90</v>
      </c>
      <c r="G20" s="70"/>
      <c r="H20" s="71"/>
      <c r="I20" s="70" t="s">
        <v>224</v>
      </c>
    </row>
    <row r="21" spans="1:9" ht="19.5" customHeight="1" x14ac:dyDescent="0.25">
      <c r="A21" s="75" t="s">
        <v>225</v>
      </c>
      <c r="B21" s="76">
        <v>8</v>
      </c>
      <c r="C21" s="75" t="s">
        <v>304</v>
      </c>
      <c r="D21" s="76" t="s">
        <v>305</v>
      </c>
      <c r="E21" s="76" t="s">
        <v>306</v>
      </c>
      <c r="F21" s="76">
        <v>20</v>
      </c>
      <c r="G21" s="76"/>
      <c r="H21" s="77"/>
      <c r="I21" s="76" t="s">
        <v>300</v>
      </c>
    </row>
    <row r="22" spans="1:9" ht="18" customHeight="1" x14ac:dyDescent="0.25">
      <c r="A22" s="91" t="s">
        <v>308</v>
      </c>
      <c r="B22" s="91"/>
      <c r="C22" s="91"/>
      <c r="D22" s="91"/>
      <c r="E22" s="91"/>
      <c r="F22" s="91"/>
      <c r="G22" s="91"/>
      <c r="H22" s="91"/>
      <c r="I22" s="91"/>
    </row>
    <row r="23" spans="1:9" ht="19.5" customHeight="1" x14ac:dyDescent="0.25">
      <c r="A23" s="75" t="s">
        <v>231</v>
      </c>
      <c r="B23" s="76">
        <v>1</v>
      </c>
      <c r="C23" s="75" t="s">
        <v>29</v>
      </c>
      <c r="D23" s="76" t="s">
        <v>292</v>
      </c>
      <c r="E23" s="76" t="s">
        <v>293</v>
      </c>
      <c r="F23" s="76">
        <v>5</v>
      </c>
      <c r="G23" s="76"/>
      <c r="H23" s="77"/>
      <c r="I23" s="76" t="s">
        <v>300</v>
      </c>
    </row>
    <row r="24" spans="1:9" ht="19.5" customHeight="1" x14ac:dyDescent="0.25">
      <c r="A24" s="75" t="s">
        <v>231</v>
      </c>
      <c r="B24" s="76">
        <v>2</v>
      </c>
      <c r="C24" s="75" t="s">
        <v>31</v>
      </c>
      <c r="D24" s="76" t="s">
        <v>292</v>
      </c>
      <c r="E24" s="76" t="s">
        <v>295</v>
      </c>
      <c r="F24" s="76">
        <v>45</v>
      </c>
      <c r="G24" s="76"/>
      <c r="H24" s="77"/>
      <c r="I24" s="76" t="s">
        <v>300</v>
      </c>
    </row>
    <row r="25" spans="1:9" ht="19.5" customHeight="1" x14ac:dyDescent="0.25">
      <c r="A25" s="75" t="s">
        <v>231</v>
      </c>
      <c r="B25" s="76">
        <v>3</v>
      </c>
      <c r="C25" s="75" t="s">
        <v>33</v>
      </c>
      <c r="D25" s="76" t="s">
        <v>292</v>
      </c>
      <c r="E25" s="76" t="s">
        <v>295</v>
      </c>
      <c r="F25" s="76">
        <v>10</v>
      </c>
      <c r="G25" s="76"/>
      <c r="H25" s="77"/>
      <c r="I25" s="76" t="s">
        <v>300</v>
      </c>
    </row>
    <row r="26" spans="1:9" ht="19.5" customHeight="1" x14ac:dyDescent="0.25">
      <c r="A26" s="75" t="s">
        <v>231</v>
      </c>
      <c r="B26" s="76">
        <v>4</v>
      </c>
      <c r="C26" s="75" t="s">
        <v>37</v>
      </c>
      <c r="D26" s="76" t="s">
        <v>292</v>
      </c>
      <c r="E26" s="76" t="s">
        <v>295</v>
      </c>
      <c r="F26" s="76">
        <v>10</v>
      </c>
      <c r="G26" s="76"/>
      <c r="H26" s="77"/>
      <c r="I26" s="76" t="s">
        <v>300</v>
      </c>
    </row>
    <row r="27" spans="1:9" ht="19.5" customHeight="1" x14ac:dyDescent="0.25">
      <c r="A27" s="75" t="s">
        <v>231</v>
      </c>
      <c r="B27" s="76">
        <v>5</v>
      </c>
      <c r="C27" s="75" t="s">
        <v>38</v>
      </c>
      <c r="D27" s="76" t="s">
        <v>292</v>
      </c>
      <c r="E27" s="76" t="s">
        <v>295</v>
      </c>
      <c r="F27" s="76">
        <v>10</v>
      </c>
      <c r="G27" s="76"/>
      <c r="H27" s="77"/>
      <c r="I27" s="76" t="s">
        <v>300</v>
      </c>
    </row>
    <row r="28" spans="1:9" ht="19.5" customHeight="1" x14ac:dyDescent="0.25">
      <c r="A28" s="75" t="s">
        <v>231</v>
      </c>
      <c r="B28" s="76">
        <v>6</v>
      </c>
      <c r="C28" s="75" t="s">
        <v>301</v>
      </c>
      <c r="D28" s="76" t="s">
        <v>292</v>
      </c>
      <c r="E28" s="76" t="s">
        <v>295</v>
      </c>
      <c r="F28" s="76">
        <v>3</v>
      </c>
      <c r="G28" s="76"/>
      <c r="H28" s="77"/>
      <c r="I28" s="76" t="s">
        <v>300</v>
      </c>
    </row>
    <row r="29" spans="1:9" ht="19.5" customHeight="1" x14ac:dyDescent="0.25">
      <c r="A29" s="75" t="s">
        <v>231</v>
      </c>
      <c r="B29" s="76">
        <v>7</v>
      </c>
      <c r="C29" s="75" t="s">
        <v>302</v>
      </c>
      <c r="D29" s="76" t="s">
        <v>303</v>
      </c>
      <c r="E29" s="76" t="s">
        <v>298</v>
      </c>
      <c r="F29" s="76">
        <v>90</v>
      </c>
      <c r="G29" s="76"/>
      <c r="H29" s="77"/>
      <c r="I29" s="76" t="s">
        <v>300</v>
      </c>
    </row>
    <row r="30" spans="1:9" ht="19.5" customHeight="1" x14ac:dyDescent="0.25">
      <c r="A30" s="75" t="s">
        <v>231</v>
      </c>
      <c r="B30" s="76">
        <v>8</v>
      </c>
      <c r="C30" s="75" t="s">
        <v>304</v>
      </c>
      <c r="D30" s="76" t="s">
        <v>305</v>
      </c>
      <c r="E30" s="76" t="s">
        <v>306</v>
      </c>
      <c r="F30" s="76">
        <v>20</v>
      </c>
      <c r="G30" s="76"/>
      <c r="H30" s="77"/>
      <c r="I30" s="76" t="s">
        <v>300</v>
      </c>
    </row>
    <row r="31" spans="1:9" ht="18" customHeight="1" x14ac:dyDescent="0.25">
      <c r="A31" s="91" t="s">
        <v>309</v>
      </c>
      <c r="B31" s="91"/>
      <c r="C31" s="91"/>
      <c r="D31" s="91"/>
      <c r="E31" s="91"/>
      <c r="F31" s="91"/>
      <c r="G31" s="91"/>
      <c r="H31" s="91"/>
      <c r="I31" s="91"/>
    </row>
    <row r="32" spans="1:9" ht="19.5" customHeight="1" x14ac:dyDescent="0.25">
      <c r="A32" s="66" t="s">
        <v>235</v>
      </c>
      <c r="B32" s="67">
        <v>1</v>
      </c>
      <c r="C32" s="66" t="s">
        <v>29</v>
      </c>
      <c r="D32" s="67" t="s">
        <v>292</v>
      </c>
      <c r="E32" s="67" t="s">
        <v>293</v>
      </c>
      <c r="F32" s="67">
        <v>5</v>
      </c>
      <c r="G32" s="67"/>
      <c r="H32" s="68"/>
      <c r="I32" s="67" t="s">
        <v>294</v>
      </c>
    </row>
    <row r="33" spans="1:9" ht="19.5" customHeight="1" x14ac:dyDescent="0.25">
      <c r="A33" s="72" t="s">
        <v>235</v>
      </c>
      <c r="B33" s="73">
        <v>2</v>
      </c>
      <c r="C33" s="72" t="s">
        <v>31</v>
      </c>
      <c r="D33" s="73" t="s">
        <v>292</v>
      </c>
      <c r="E33" s="73" t="s">
        <v>295</v>
      </c>
      <c r="F33" s="73">
        <v>45</v>
      </c>
      <c r="G33" s="73"/>
      <c r="H33" s="74" t="s">
        <v>310</v>
      </c>
      <c r="I33" s="73" t="s">
        <v>299</v>
      </c>
    </row>
    <row r="34" spans="1:9" ht="19.5" customHeight="1" x14ac:dyDescent="0.25">
      <c r="A34" s="75" t="s">
        <v>235</v>
      </c>
      <c r="B34" s="76">
        <v>3</v>
      </c>
      <c r="C34" s="75" t="s">
        <v>33</v>
      </c>
      <c r="D34" s="76" t="s">
        <v>292</v>
      </c>
      <c r="E34" s="76" t="s">
        <v>295</v>
      </c>
      <c r="F34" s="76">
        <v>10</v>
      </c>
      <c r="G34" s="76"/>
      <c r="H34" s="77"/>
      <c r="I34" s="76" t="s">
        <v>300</v>
      </c>
    </row>
    <row r="35" spans="1:9" ht="19.5" customHeight="1" x14ac:dyDescent="0.25">
      <c r="A35" s="75" t="s">
        <v>235</v>
      </c>
      <c r="B35" s="76">
        <v>4</v>
      </c>
      <c r="C35" s="75" t="s">
        <v>37</v>
      </c>
      <c r="D35" s="76" t="s">
        <v>292</v>
      </c>
      <c r="E35" s="76" t="s">
        <v>295</v>
      </c>
      <c r="F35" s="76">
        <v>10</v>
      </c>
      <c r="G35" s="76"/>
      <c r="H35" s="77"/>
      <c r="I35" s="76" t="s">
        <v>300</v>
      </c>
    </row>
    <row r="36" spans="1:9" ht="19.5" customHeight="1" x14ac:dyDescent="0.25">
      <c r="A36" s="75" t="s">
        <v>235</v>
      </c>
      <c r="B36" s="76">
        <v>5</v>
      </c>
      <c r="C36" s="75" t="s">
        <v>38</v>
      </c>
      <c r="D36" s="76" t="s">
        <v>292</v>
      </c>
      <c r="E36" s="76" t="s">
        <v>295</v>
      </c>
      <c r="F36" s="76">
        <v>10</v>
      </c>
      <c r="G36" s="76"/>
      <c r="H36" s="77"/>
      <c r="I36" s="76" t="s">
        <v>300</v>
      </c>
    </row>
    <row r="37" spans="1:9" ht="19.5" customHeight="1" x14ac:dyDescent="0.25">
      <c r="A37" s="75" t="s">
        <v>235</v>
      </c>
      <c r="B37" s="76">
        <v>6</v>
      </c>
      <c r="C37" s="75" t="s">
        <v>301</v>
      </c>
      <c r="D37" s="76" t="s">
        <v>292</v>
      </c>
      <c r="E37" s="76" t="s">
        <v>295</v>
      </c>
      <c r="F37" s="76">
        <v>3</v>
      </c>
      <c r="G37" s="76"/>
      <c r="H37" s="77"/>
      <c r="I37" s="76" t="s">
        <v>300</v>
      </c>
    </row>
    <row r="38" spans="1:9" ht="19.5" customHeight="1" x14ac:dyDescent="0.25">
      <c r="A38" s="75" t="s">
        <v>235</v>
      </c>
      <c r="B38" s="76">
        <v>7</v>
      </c>
      <c r="C38" s="75" t="s">
        <v>302</v>
      </c>
      <c r="D38" s="76" t="s">
        <v>303</v>
      </c>
      <c r="E38" s="76" t="s">
        <v>298</v>
      </c>
      <c r="F38" s="76">
        <v>90</v>
      </c>
      <c r="G38" s="76"/>
      <c r="H38" s="77"/>
      <c r="I38" s="76" t="s">
        <v>300</v>
      </c>
    </row>
    <row r="39" spans="1:9" ht="19.5" customHeight="1" x14ac:dyDescent="0.25">
      <c r="A39" s="75" t="s">
        <v>235</v>
      </c>
      <c r="B39" s="76">
        <v>8</v>
      </c>
      <c r="C39" s="75" t="s">
        <v>304</v>
      </c>
      <c r="D39" s="76" t="s">
        <v>305</v>
      </c>
      <c r="E39" s="76" t="s">
        <v>306</v>
      </c>
      <c r="F39" s="76">
        <v>20</v>
      </c>
      <c r="G39" s="76"/>
      <c r="H39" s="77"/>
      <c r="I39" s="76" t="s">
        <v>300</v>
      </c>
    </row>
    <row r="40" spans="1:9" ht="18" customHeight="1" x14ac:dyDescent="0.25">
      <c r="A40" s="91" t="s">
        <v>311</v>
      </c>
      <c r="B40" s="91"/>
      <c r="C40" s="91"/>
      <c r="D40" s="91"/>
      <c r="E40" s="91"/>
      <c r="F40" s="91"/>
      <c r="G40" s="91"/>
      <c r="H40" s="91"/>
      <c r="I40" s="91"/>
    </row>
    <row r="41" spans="1:9" ht="19.5" customHeight="1" x14ac:dyDescent="0.25">
      <c r="A41" s="66" t="s">
        <v>239</v>
      </c>
      <c r="B41" s="67">
        <v>1</v>
      </c>
      <c r="C41" s="66" t="s">
        <v>29</v>
      </c>
      <c r="D41" s="67" t="s">
        <v>292</v>
      </c>
      <c r="E41" s="67" t="s">
        <v>293</v>
      </c>
      <c r="F41" s="67">
        <v>5</v>
      </c>
      <c r="G41" s="67"/>
      <c r="H41" s="68" t="s">
        <v>312</v>
      </c>
      <c r="I41" s="67" t="s">
        <v>294</v>
      </c>
    </row>
    <row r="42" spans="1:9" ht="19.5" customHeight="1" x14ac:dyDescent="0.25">
      <c r="A42" s="69" t="s">
        <v>239</v>
      </c>
      <c r="B42" s="70">
        <v>2</v>
      </c>
      <c r="C42" s="69" t="s">
        <v>31</v>
      </c>
      <c r="D42" s="70" t="s">
        <v>292</v>
      </c>
      <c r="E42" s="70" t="s">
        <v>295</v>
      </c>
      <c r="F42" s="70">
        <v>45</v>
      </c>
      <c r="G42" s="70"/>
      <c r="H42" s="71" t="s">
        <v>313</v>
      </c>
      <c r="I42" s="70" t="s">
        <v>224</v>
      </c>
    </row>
    <row r="43" spans="1:9" ht="19.5" customHeight="1" x14ac:dyDescent="0.25">
      <c r="A43" s="69" t="s">
        <v>239</v>
      </c>
      <c r="B43" s="70">
        <v>3</v>
      </c>
      <c r="C43" s="69" t="s">
        <v>33</v>
      </c>
      <c r="D43" s="70" t="s">
        <v>292</v>
      </c>
      <c r="E43" s="70" t="s">
        <v>295</v>
      </c>
      <c r="F43" s="70">
        <v>10</v>
      </c>
      <c r="G43" s="70"/>
      <c r="H43" s="71" t="s">
        <v>314</v>
      </c>
      <c r="I43" s="70" t="s">
        <v>224</v>
      </c>
    </row>
    <row r="44" spans="1:9" ht="19.5" customHeight="1" x14ac:dyDescent="0.25">
      <c r="A44" s="75" t="s">
        <v>239</v>
      </c>
      <c r="B44" s="76">
        <v>4</v>
      </c>
      <c r="C44" s="75" t="s">
        <v>37</v>
      </c>
      <c r="D44" s="76" t="s">
        <v>292</v>
      </c>
      <c r="E44" s="76" t="s">
        <v>295</v>
      </c>
      <c r="F44" s="76">
        <v>10</v>
      </c>
      <c r="G44" s="76"/>
      <c r="H44" s="77"/>
      <c r="I44" s="76" t="s">
        <v>300</v>
      </c>
    </row>
    <row r="45" spans="1:9" ht="19.5" customHeight="1" x14ac:dyDescent="0.25">
      <c r="A45" s="75" t="s">
        <v>239</v>
      </c>
      <c r="B45" s="76">
        <v>5</v>
      </c>
      <c r="C45" s="75" t="s">
        <v>38</v>
      </c>
      <c r="D45" s="76" t="s">
        <v>292</v>
      </c>
      <c r="E45" s="76" t="s">
        <v>295</v>
      </c>
      <c r="F45" s="76">
        <v>10</v>
      </c>
      <c r="G45" s="76"/>
      <c r="H45" s="77"/>
      <c r="I45" s="76" t="s">
        <v>300</v>
      </c>
    </row>
    <row r="46" spans="1:9" ht="19.5" customHeight="1" x14ac:dyDescent="0.25">
      <c r="A46" s="75" t="s">
        <v>239</v>
      </c>
      <c r="B46" s="76">
        <v>6</v>
      </c>
      <c r="C46" s="75" t="s">
        <v>301</v>
      </c>
      <c r="D46" s="76" t="s">
        <v>292</v>
      </c>
      <c r="E46" s="76" t="s">
        <v>295</v>
      </c>
      <c r="F46" s="76">
        <v>3</v>
      </c>
      <c r="G46" s="76"/>
      <c r="H46" s="77"/>
      <c r="I46" s="76" t="s">
        <v>300</v>
      </c>
    </row>
    <row r="47" spans="1:9" ht="19.5" customHeight="1" x14ac:dyDescent="0.25">
      <c r="A47" s="75" t="s">
        <v>239</v>
      </c>
      <c r="B47" s="76">
        <v>7</v>
      </c>
      <c r="C47" s="75" t="s">
        <v>302</v>
      </c>
      <c r="D47" s="76" t="s">
        <v>303</v>
      </c>
      <c r="E47" s="76" t="s">
        <v>298</v>
      </c>
      <c r="F47" s="76">
        <v>90</v>
      </c>
      <c r="G47" s="76"/>
      <c r="H47" s="77"/>
      <c r="I47" s="76" t="s">
        <v>300</v>
      </c>
    </row>
    <row r="48" spans="1:9" ht="19.5" customHeight="1" x14ac:dyDescent="0.25">
      <c r="A48" s="75" t="s">
        <v>239</v>
      </c>
      <c r="B48" s="76">
        <v>8</v>
      </c>
      <c r="C48" s="75" t="s">
        <v>304</v>
      </c>
      <c r="D48" s="76" t="s">
        <v>305</v>
      </c>
      <c r="E48" s="76" t="s">
        <v>306</v>
      </c>
      <c r="F48" s="76">
        <v>20</v>
      </c>
      <c r="G48" s="76"/>
      <c r="H48" s="77"/>
      <c r="I48" s="76" t="s">
        <v>300</v>
      </c>
    </row>
    <row r="49" spans="1:9" ht="18" customHeight="1" x14ac:dyDescent="0.25">
      <c r="A49" s="91" t="s">
        <v>315</v>
      </c>
      <c r="B49" s="91"/>
      <c r="C49" s="91"/>
      <c r="D49" s="91"/>
      <c r="E49" s="91"/>
      <c r="F49" s="91"/>
      <c r="G49" s="91"/>
      <c r="H49" s="91"/>
      <c r="I49" s="91"/>
    </row>
    <row r="50" spans="1:9" ht="19.5" customHeight="1" x14ac:dyDescent="0.25">
      <c r="A50" s="75" t="s">
        <v>243</v>
      </c>
      <c r="B50" s="76">
        <v>1</v>
      </c>
      <c r="C50" s="75" t="s">
        <v>29</v>
      </c>
      <c r="D50" s="76" t="s">
        <v>292</v>
      </c>
      <c r="E50" s="76" t="s">
        <v>293</v>
      </c>
      <c r="F50" s="76">
        <v>5</v>
      </c>
      <c r="G50" s="76"/>
      <c r="H50" s="77"/>
      <c r="I50" s="76" t="s">
        <v>300</v>
      </c>
    </row>
    <row r="51" spans="1:9" ht="19.5" customHeight="1" x14ac:dyDescent="0.25">
      <c r="A51" s="75" t="s">
        <v>243</v>
      </c>
      <c r="B51" s="76">
        <v>2</v>
      </c>
      <c r="C51" s="75" t="s">
        <v>31</v>
      </c>
      <c r="D51" s="76" t="s">
        <v>292</v>
      </c>
      <c r="E51" s="76" t="s">
        <v>295</v>
      </c>
      <c r="F51" s="76">
        <v>45</v>
      </c>
      <c r="G51" s="76"/>
      <c r="H51" s="77"/>
      <c r="I51" s="76" t="s">
        <v>300</v>
      </c>
    </row>
    <row r="52" spans="1:9" ht="19.5" customHeight="1" x14ac:dyDescent="0.25">
      <c r="A52" s="75" t="s">
        <v>243</v>
      </c>
      <c r="B52" s="76">
        <v>3</v>
      </c>
      <c r="C52" s="75" t="s">
        <v>33</v>
      </c>
      <c r="D52" s="76" t="s">
        <v>292</v>
      </c>
      <c r="E52" s="76" t="s">
        <v>295</v>
      </c>
      <c r="F52" s="76">
        <v>10</v>
      </c>
      <c r="G52" s="76"/>
      <c r="H52" s="77"/>
      <c r="I52" s="76" t="s">
        <v>300</v>
      </c>
    </row>
    <row r="53" spans="1:9" ht="19.5" customHeight="1" x14ac:dyDescent="0.25">
      <c r="A53" s="75" t="s">
        <v>243</v>
      </c>
      <c r="B53" s="76">
        <v>4</v>
      </c>
      <c r="C53" s="75" t="s">
        <v>37</v>
      </c>
      <c r="D53" s="76" t="s">
        <v>292</v>
      </c>
      <c r="E53" s="76" t="s">
        <v>295</v>
      </c>
      <c r="F53" s="76">
        <v>10</v>
      </c>
      <c r="G53" s="76"/>
      <c r="H53" s="77"/>
      <c r="I53" s="76" t="s">
        <v>300</v>
      </c>
    </row>
    <row r="54" spans="1:9" ht="19.5" customHeight="1" x14ac:dyDescent="0.25">
      <c r="A54" s="75" t="s">
        <v>243</v>
      </c>
      <c r="B54" s="76">
        <v>5</v>
      </c>
      <c r="C54" s="75" t="s">
        <v>38</v>
      </c>
      <c r="D54" s="76" t="s">
        <v>292</v>
      </c>
      <c r="E54" s="76" t="s">
        <v>295</v>
      </c>
      <c r="F54" s="76">
        <v>10</v>
      </c>
      <c r="G54" s="76"/>
      <c r="H54" s="77"/>
      <c r="I54" s="76" t="s">
        <v>300</v>
      </c>
    </row>
    <row r="55" spans="1:9" ht="19.5" customHeight="1" x14ac:dyDescent="0.25">
      <c r="A55" s="75" t="s">
        <v>243</v>
      </c>
      <c r="B55" s="76">
        <v>6</v>
      </c>
      <c r="C55" s="75" t="s">
        <v>301</v>
      </c>
      <c r="D55" s="76" t="s">
        <v>292</v>
      </c>
      <c r="E55" s="76" t="s">
        <v>295</v>
      </c>
      <c r="F55" s="76">
        <v>3</v>
      </c>
      <c r="G55" s="76"/>
      <c r="H55" s="77"/>
      <c r="I55" s="76" t="s">
        <v>300</v>
      </c>
    </row>
    <row r="56" spans="1:9" ht="19.5" customHeight="1" x14ac:dyDescent="0.25">
      <c r="A56" s="75" t="s">
        <v>243</v>
      </c>
      <c r="B56" s="76">
        <v>7</v>
      </c>
      <c r="C56" s="75" t="s">
        <v>302</v>
      </c>
      <c r="D56" s="76" t="s">
        <v>303</v>
      </c>
      <c r="E56" s="76" t="s">
        <v>298</v>
      </c>
      <c r="F56" s="76">
        <v>90</v>
      </c>
      <c r="G56" s="76"/>
      <c r="H56" s="77"/>
      <c r="I56" s="76" t="s">
        <v>300</v>
      </c>
    </row>
    <row r="57" spans="1:9" ht="19.5" customHeight="1" x14ac:dyDescent="0.25">
      <c r="A57" s="75" t="s">
        <v>243</v>
      </c>
      <c r="B57" s="76">
        <v>8</v>
      </c>
      <c r="C57" s="75" t="s">
        <v>304</v>
      </c>
      <c r="D57" s="76" t="s">
        <v>305</v>
      </c>
      <c r="E57" s="76" t="s">
        <v>306</v>
      </c>
      <c r="F57" s="76">
        <v>20</v>
      </c>
      <c r="G57" s="76"/>
      <c r="H57" s="77"/>
      <c r="I57" s="76" t="s">
        <v>300</v>
      </c>
    </row>
    <row r="58" spans="1:9" ht="18" customHeight="1" x14ac:dyDescent="0.25">
      <c r="A58" s="91" t="s">
        <v>316</v>
      </c>
      <c r="B58" s="91"/>
      <c r="C58" s="91"/>
      <c r="D58" s="91"/>
      <c r="E58" s="91"/>
      <c r="F58" s="91"/>
      <c r="G58" s="91"/>
      <c r="H58" s="91"/>
      <c r="I58" s="91"/>
    </row>
    <row r="59" spans="1:9" ht="19.5" customHeight="1" x14ac:dyDescent="0.25">
      <c r="A59" s="75" t="s">
        <v>247</v>
      </c>
      <c r="B59" s="76">
        <v>1</v>
      </c>
      <c r="C59" s="75" t="s">
        <v>29</v>
      </c>
      <c r="D59" s="76" t="s">
        <v>292</v>
      </c>
      <c r="E59" s="76" t="s">
        <v>293</v>
      </c>
      <c r="F59" s="76">
        <v>5</v>
      </c>
      <c r="G59" s="76"/>
      <c r="H59" s="77"/>
      <c r="I59" s="76" t="s">
        <v>300</v>
      </c>
    </row>
    <row r="60" spans="1:9" ht="19.5" customHeight="1" x14ac:dyDescent="0.25">
      <c r="A60" s="75" t="s">
        <v>247</v>
      </c>
      <c r="B60" s="76">
        <v>2</v>
      </c>
      <c r="C60" s="75" t="s">
        <v>31</v>
      </c>
      <c r="D60" s="76" t="s">
        <v>292</v>
      </c>
      <c r="E60" s="76" t="s">
        <v>295</v>
      </c>
      <c r="F60" s="76">
        <v>45</v>
      </c>
      <c r="G60" s="76"/>
      <c r="H60" s="77"/>
      <c r="I60" s="76" t="s">
        <v>300</v>
      </c>
    </row>
    <row r="61" spans="1:9" ht="19.5" customHeight="1" x14ac:dyDescent="0.25">
      <c r="A61" s="75" t="s">
        <v>247</v>
      </c>
      <c r="B61" s="76">
        <v>3</v>
      </c>
      <c r="C61" s="75" t="s">
        <v>33</v>
      </c>
      <c r="D61" s="76" t="s">
        <v>292</v>
      </c>
      <c r="E61" s="76" t="s">
        <v>295</v>
      </c>
      <c r="F61" s="76">
        <v>10</v>
      </c>
      <c r="G61" s="76"/>
      <c r="H61" s="77"/>
      <c r="I61" s="76" t="s">
        <v>300</v>
      </c>
    </row>
    <row r="62" spans="1:9" ht="19.5" customHeight="1" x14ac:dyDescent="0.25">
      <c r="A62" s="75" t="s">
        <v>247</v>
      </c>
      <c r="B62" s="76">
        <v>4</v>
      </c>
      <c r="C62" s="75" t="s">
        <v>37</v>
      </c>
      <c r="D62" s="76" t="s">
        <v>292</v>
      </c>
      <c r="E62" s="76" t="s">
        <v>295</v>
      </c>
      <c r="F62" s="76">
        <v>10</v>
      </c>
      <c r="G62" s="76"/>
      <c r="H62" s="77"/>
      <c r="I62" s="76" t="s">
        <v>300</v>
      </c>
    </row>
    <row r="63" spans="1:9" ht="19.5" customHeight="1" x14ac:dyDescent="0.25">
      <c r="A63" s="75" t="s">
        <v>247</v>
      </c>
      <c r="B63" s="76">
        <v>5</v>
      </c>
      <c r="C63" s="75" t="s">
        <v>38</v>
      </c>
      <c r="D63" s="76" t="s">
        <v>292</v>
      </c>
      <c r="E63" s="76" t="s">
        <v>295</v>
      </c>
      <c r="F63" s="76">
        <v>10</v>
      </c>
      <c r="G63" s="76"/>
      <c r="H63" s="77"/>
      <c r="I63" s="76" t="s">
        <v>300</v>
      </c>
    </row>
    <row r="64" spans="1:9" ht="19.5" customHeight="1" x14ac:dyDescent="0.25">
      <c r="A64" s="75" t="s">
        <v>247</v>
      </c>
      <c r="B64" s="76">
        <v>6</v>
      </c>
      <c r="C64" s="75" t="s">
        <v>301</v>
      </c>
      <c r="D64" s="76" t="s">
        <v>292</v>
      </c>
      <c r="E64" s="76" t="s">
        <v>295</v>
      </c>
      <c r="F64" s="76">
        <v>3</v>
      </c>
      <c r="G64" s="76"/>
      <c r="H64" s="77"/>
      <c r="I64" s="76" t="s">
        <v>300</v>
      </c>
    </row>
    <row r="65" spans="1:9" ht="19.5" customHeight="1" x14ac:dyDescent="0.25">
      <c r="A65" s="75" t="s">
        <v>247</v>
      </c>
      <c r="B65" s="76">
        <v>7</v>
      </c>
      <c r="C65" s="75" t="s">
        <v>317</v>
      </c>
      <c r="D65" s="76" t="s">
        <v>303</v>
      </c>
      <c r="E65" s="76" t="s">
        <v>298</v>
      </c>
      <c r="F65" s="76">
        <v>30</v>
      </c>
      <c r="G65" s="76"/>
      <c r="H65" s="77"/>
      <c r="I65" s="76" t="s">
        <v>300</v>
      </c>
    </row>
    <row r="66" spans="1:9" ht="19.5" customHeight="1" x14ac:dyDescent="0.25">
      <c r="A66" s="75" t="s">
        <v>247</v>
      </c>
      <c r="B66" s="76">
        <v>8</v>
      </c>
      <c r="C66" s="75" t="s">
        <v>304</v>
      </c>
      <c r="D66" s="76" t="s">
        <v>305</v>
      </c>
      <c r="E66" s="76" t="s">
        <v>306</v>
      </c>
      <c r="F66" s="76">
        <v>20</v>
      </c>
      <c r="G66" s="76"/>
      <c r="H66" s="77"/>
      <c r="I66" s="76" t="s">
        <v>300</v>
      </c>
    </row>
    <row r="67" spans="1:9" ht="18" customHeight="1" x14ac:dyDescent="0.25">
      <c r="A67" s="91" t="s">
        <v>318</v>
      </c>
      <c r="B67" s="91"/>
      <c r="C67" s="91"/>
      <c r="D67" s="91"/>
      <c r="E67" s="91"/>
      <c r="F67" s="91"/>
      <c r="G67" s="91"/>
      <c r="H67" s="91"/>
      <c r="I67" s="91"/>
    </row>
    <row r="68" spans="1:9" ht="19.5" customHeight="1" x14ac:dyDescent="0.25">
      <c r="A68" s="75" t="s">
        <v>251</v>
      </c>
      <c r="B68" s="76">
        <v>1</v>
      </c>
      <c r="C68" s="75" t="s">
        <v>29</v>
      </c>
      <c r="D68" s="76" t="s">
        <v>292</v>
      </c>
      <c r="E68" s="76" t="s">
        <v>293</v>
      </c>
      <c r="F68" s="76">
        <v>5</v>
      </c>
      <c r="G68" s="76"/>
      <c r="H68" s="77"/>
      <c r="I68" s="76" t="s">
        <v>300</v>
      </c>
    </row>
    <row r="69" spans="1:9" ht="19.5" customHeight="1" x14ac:dyDescent="0.25">
      <c r="A69" s="75" t="s">
        <v>251</v>
      </c>
      <c r="B69" s="76">
        <v>2</v>
      </c>
      <c r="C69" s="75" t="s">
        <v>31</v>
      </c>
      <c r="D69" s="76" t="s">
        <v>292</v>
      </c>
      <c r="E69" s="76" t="s">
        <v>295</v>
      </c>
      <c r="F69" s="76">
        <v>45</v>
      </c>
      <c r="G69" s="76"/>
      <c r="H69" s="77"/>
      <c r="I69" s="76" t="s">
        <v>300</v>
      </c>
    </row>
    <row r="70" spans="1:9" ht="19.5" customHeight="1" x14ac:dyDescent="0.25">
      <c r="A70" s="75" t="s">
        <v>251</v>
      </c>
      <c r="B70" s="76">
        <v>3</v>
      </c>
      <c r="C70" s="75" t="s">
        <v>33</v>
      </c>
      <c r="D70" s="76" t="s">
        <v>292</v>
      </c>
      <c r="E70" s="76" t="s">
        <v>295</v>
      </c>
      <c r="F70" s="76">
        <v>10</v>
      </c>
      <c r="G70" s="76"/>
      <c r="H70" s="77"/>
      <c r="I70" s="76" t="s">
        <v>300</v>
      </c>
    </row>
    <row r="71" spans="1:9" ht="19.5" customHeight="1" x14ac:dyDescent="0.25">
      <c r="A71" s="75" t="s">
        <v>251</v>
      </c>
      <c r="B71" s="76">
        <v>4</v>
      </c>
      <c r="C71" s="75" t="s">
        <v>37</v>
      </c>
      <c r="D71" s="76" t="s">
        <v>292</v>
      </c>
      <c r="E71" s="76" t="s">
        <v>295</v>
      </c>
      <c r="F71" s="76">
        <v>10</v>
      </c>
      <c r="G71" s="76"/>
      <c r="H71" s="77"/>
      <c r="I71" s="76" t="s">
        <v>300</v>
      </c>
    </row>
    <row r="72" spans="1:9" ht="19.5" customHeight="1" x14ac:dyDescent="0.25">
      <c r="A72" s="75" t="s">
        <v>251</v>
      </c>
      <c r="B72" s="76">
        <v>5</v>
      </c>
      <c r="C72" s="75" t="s">
        <v>38</v>
      </c>
      <c r="D72" s="76" t="s">
        <v>292</v>
      </c>
      <c r="E72" s="76" t="s">
        <v>295</v>
      </c>
      <c r="F72" s="76">
        <v>10</v>
      </c>
      <c r="G72" s="76"/>
      <c r="H72" s="77"/>
      <c r="I72" s="76" t="s">
        <v>300</v>
      </c>
    </row>
    <row r="73" spans="1:9" ht="19.5" customHeight="1" x14ac:dyDescent="0.25">
      <c r="A73" s="75" t="s">
        <v>251</v>
      </c>
      <c r="B73" s="76">
        <v>6</v>
      </c>
      <c r="C73" s="75" t="s">
        <v>301</v>
      </c>
      <c r="D73" s="76" t="s">
        <v>292</v>
      </c>
      <c r="E73" s="76" t="s">
        <v>295</v>
      </c>
      <c r="F73" s="76">
        <v>3</v>
      </c>
      <c r="G73" s="76"/>
      <c r="H73" s="77"/>
      <c r="I73" s="76" t="s">
        <v>300</v>
      </c>
    </row>
    <row r="74" spans="1:9" ht="19.5" customHeight="1" x14ac:dyDescent="0.25">
      <c r="A74" s="75" t="s">
        <v>251</v>
      </c>
      <c r="B74" s="76">
        <v>7</v>
      </c>
      <c r="C74" s="75" t="s">
        <v>317</v>
      </c>
      <c r="D74" s="76" t="s">
        <v>303</v>
      </c>
      <c r="E74" s="76" t="s">
        <v>298</v>
      </c>
      <c r="F74" s="76">
        <v>30</v>
      </c>
      <c r="G74" s="76"/>
      <c r="H74" s="77"/>
      <c r="I74" s="76" t="s">
        <v>300</v>
      </c>
    </row>
    <row r="75" spans="1:9" ht="19.5" customHeight="1" x14ac:dyDescent="0.25">
      <c r="A75" s="75" t="s">
        <v>251</v>
      </c>
      <c r="B75" s="76">
        <v>8</v>
      </c>
      <c r="C75" s="75" t="s">
        <v>304</v>
      </c>
      <c r="D75" s="76" t="s">
        <v>305</v>
      </c>
      <c r="E75" s="76" t="s">
        <v>306</v>
      </c>
      <c r="F75" s="76">
        <v>20</v>
      </c>
      <c r="G75" s="76"/>
      <c r="H75" s="77"/>
      <c r="I75" s="76" t="s">
        <v>300</v>
      </c>
    </row>
    <row r="76" spans="1:9" ht="18" customHeight="1" x14ac:dyDescent="0.25">
      <c r="A76" s="91" t="s">
        <v>319</v>
      </c>
      <c r="B76" s="91"/>
      <c r="C76" s="91"/>
      <c r="D76" s="91"/>
      <c r="E76" s="91"/>
      <c r="F76" s="91"/>
      <c r="G76" s="91"/>
      <c r="H76" s="91"/>
      <c r="I76" s="91"/>
    </row>
    <row r="77" spans="1:9" ht="19.5" customHeight="1" x14ac:dyDescent="0.25">
      <c r="A77" s="75" t="s">
        <v>254</v>
      </c>
      <c r="B77" s="76">
        <v>1</v>
      </c>
      <c r="C77" s="75" t="s">
        <v>29</v>
      </c>
      <c r="D77" s="76" t="s">
        <v>292</v>
      </c>
      <c r="E77" s="76" t="s">
        <v>293</v>
      </c>
      <c r="F77" s="76">
        <v>5</v>
      </c>
      <c r="G77" s="76"/>
      <c r="H77" s="77"/>
      <c r="I77" s="76" t="s">
        <v>300</v>
      </c>
    </row>
    <row r="78" spans="1:9" ht="19.5" customHeight="1" x14ac:dyDescent="0.25">
      <c r="A78" s="75" t="s">
        <v>254</v>
      </c>
      <c r="B78" s="76">
        <v>2</v>
      </c>
      <c r="C78" s="75" t="s">
        <v>31</v>
      </c>
      <c r="D78" s="76" t="s">
        <v>292</v>
      </c>
      <c r="E78" s="76" t="s">
        <v>295</v>
      </c>
      <c r="F78" s="76">
        <v>45</v>
      </c>
      <c r="G78" s="76"/>
      <c r="H78" s="77"/>
      <c r="I78" s="76" t="s">
        <v>300</v>
      </c>
    </row>
    <row r="79" spans="1:9" ht="19.5" customHeight="1" x14ac:dyDescent="0.25">
      <c r="A79" s="75" t="s">
        <v>254</v>
      </c>
      <c r="B79" s="76">
        <v>3</v>
      </c>
      <c r="C79" s="75" t="s">
        <v>33</v>
      </c>
      <c r="D79" s="76" t="s">
        <v>292</v>
      </c>
      <c r="E79" s="76" t="s">
        <v>295</v>
      </c>
      <c r="F79" s="76">
        <v>10</v>
      </c>
      <c r="G79" s="76"/>
      <c r="H79" s="77"/>
      <c r="I79" s="76" t="s">
        <v>300</v>
      </c>
    </row>
    <row r="80" spans="1:9" ht="19.5" customHeight="1" x14ac:dyDescent="0.25">
      <c r="A80" s="75" t="s">
        <v>254</v>
      </c>
      <c r="B80" s="76">
        <v>4</v>
      </c>
      <c r="C80" s="75" t="s">
        <v>37</v>
      </c>
      <c r="D80" s="76" t="s">
        <v>292</v>
      </c>
      <c r="E80" s="76" t="s">
        <v>295</v>
      </c>
      <c r="F80" s="76">
        <v>10</v>
      </c>
      <c r="G80" s="76"/>
      <c r="H80" s="77"/>
      <c r="I80" s="76" t="s">
        <v>300</v>
      </c>
    </row>
    <row r="81" spans="1:9" ht="19.5" customHeight="1" x14ac:dyDescent="0.25">
      <c r="A81" s="75" t="s">
        <v>254</v>
      </c>
      <c r="B81" s="76">
        <v>5</v>
      </c>
      <c r="C81" s="75" t="s">
        <v>38</v>
      </c>
      <c r="D81" s="76" t="s">
        <v>292</v>
      </c>
      <c r="E81" s="76" t="s">
        <v>295</v>
      </c>
      <c r="F81" s="76">
        <v>10</v>
      </c>
      <c r="G81" s="76"/>
      <c r="H81" s="77"/>
      <c r="I81" s="76" t="s">
        <v>300</v>
      </c>
    </row>
    <row r="82" spans="1:9" ht="19.5" customHeight="1" x14ac:dyDescent="0.25">
      <c r="A82" s="75" t="s">
        <v>254</v>
      </c>
      <c r="B82" s="76">
        <v>6</v>
      </c>
      <c r="C82" s="75" t="s">
        <v>301</v>
      </c>
      <c r="D82" s="76" t="s">
        <v>292</v>
      </c>
      <c r="E82" s="76" t="s">
        <v>295</v>
      </c>
      <c r="F82" s="76">
        <v>3</v>
      </c>
      <c r="G82" s="76"/>
      <c r="H82" s="77"/>
      <c r="I82" s="76" t="s">
        <v>300</v>
      </c>
    </row>
    <row r="83" spans="1:9" ht="19.5" customHeight="1" x14ac:dyDescent="0.25">
      <c r="A83" s="75" t="s">
        <v>254</v>
      </c>
      <c r="B83" s="76">
        <v>7</v>
      </c>
      <c r="C83" s="75" t="s">
        <v>317</v>
      </c>
      <c r="D83" s="76" t="s">
        <v>303</v>
      </c>
      <c r="E83" s="76" t="s">
        <v>298</v>
      </c>
      <c r="F83" s="76">
        <v>30</v>
      </c>
      <c r="G83" s="76"/>
      <c r="H83" s="77"/>
      <c r="I83" s="76" t="s">
        <v>300</v>
      </c>
    </row>
    <row r="84" spans="1:9" ht="19.5" customHeight="1" x14ac:dyDescent="0.25">
      <c r="A84" s="75" t="s">
        <v>254</v>
      </c>
      <c r="B84" s="76">
        <v>8</v>
      </c>
      <c r="C84" s="75" t="s">
        <v>304</v>
      </c>
      <c r="D84" s="76" t="s">
        <v>305</v>
      </c>
      <c r="E84" s="76" t="s">
        <v>306</v>
      </c>
      <c r="F84" s="76">
        <v>20</v>
      </c>
      <c r="G84" s="76"/>
      <c r="H84" s="77"/>
      <c r="I84" s="76" t="s">
        <v>300</v>
      </c>
    </row>
    <row r="85" spans="1:9" ht="18" customHeight="1" x14ac:dyDescent="0.25">
      <c r="A85" s="91" t="s">
        <v>320</v>
      </c>
      <c r="B85" s="91"/>
      <c r="C85" s="91"/>
      <c r="D85" s="91"/>
      <c r="E85" s="91"/>
      <c r="F85" s="91"/>
      <c r="G85" s="91"/>
      <c r="H85" s="91"/>
      <c r="I85" s="91"/>
    </row>
    <row r="86" spans="1:9" ht="19.5" customHeight="1" x14ac:dyDescent="0.25">
      <c r="A86" s="72" t="s">
        <v>257</v>
      </c>
      <c r="B86" s="73">
        <v>1</v>
      </c>
      <c r="C86" s="72" t="s">
        <v>29</v>
      </c>
      <c r="D86" s="73" t="s">
        <v>292</v>
      </c>
      <c r="E86" s="73" t="s">
        <v>293</v>
      </c>
      <c r="F86" s="73">
        <v>5</v>
      </c>
      <c r="G86" s="73"/>
      <c r="H86" s="74" t="s">
        <v>321</v>
      </c>
      <c r="I86" s="73" t="s">
        <v>299</v>
      </c>
    </row>
    <row r="87" spans="1:9" ht="19.5" customHeight="1" x14ac:dyDescent="0.25">
      <c r="A87" s="75" t="s">
        <v>257</v>
      </c>
      <c r="B87" s="76">
        <v>2</v>
      </c>
      <c r="C87" s="75" t="s">
        <v>31</v>
      </c>
      <c r="D87" s="76" t="s">
        <v>292</v>
      </c>
      <c r="E87" s="76" t="s">
        <v>295</v>
      </c>
      <c r="F87" s="76">
        <v>45</v>
      </c>
      <c r="G87" s="76"/>
      <c r="H87" s="77"/>
      <c r="I87" s="76" t="s">
        <v>300</v>
      </c>
    </row>
    <row r="88" spans="1:9" ht="19.5" customHeight="1" x14ac:dyDescent="0.25">
      <c r="A88" s="75" t="s">
        <v>257</v>
      </c>
      <c r="B88" s="76">
        <v>3</v>
      </c>
      <c r="C88" s="75" t="s">
        <v>33</v>
      </c>
      <c r="D88" s="76" t="s">
        <v>292</v>
      </c>
      <c r="E88" s="76" t="s">
        <v>295</v>
      </c>
      <c r="F88" s="76">
        <v>10</v>
      </c>
      <c r="G88" s="76"/>
      <c r="H88" s="77"/>
      <c r="I88" s="76" t="s">
        <v>300</v>
      </c>
    </row>
    <row r="89" spans="1:9" ht="19.5" customHeight="1" x14ac:dyDescent="0.25">
      <c r="A89" s="75" t="s">
        <v>257</v>
      </c>
      <c r="B89" s="76">
        <v>4</v>
      </c>
      <c r="C89" s="75" t="s">
        <v>37</v>
      </c>
      <c r="D89" s="76" t="s">
        <v>292</v>
      </c>
      <c r="E89" s="76" t="s">
        <v>295</v>
      </c>
      <c r="F89" s="76">
        <v>10</v>
      </c>
      <c r="G89" s="76"/>
      <c r="H89" s="77"/>
      <c r="I89" s="76" t="s">
        <v>300</v>
      </c>
    </row>
    <row r="90" spans="1:9" ht="19.5" customHeight="1" x14ac:dyDescent="0.25">
      <c r="A90" s="75" t="s">
        <v>257</v>
      </c>
      <c r="B90" s="76">
        <v>5</v>
      </c>
      <c r="C90" s="75" t="s">
        <v>38</v>
      </c>
      <c r="D90" s="76" t="s">
        <v>292</v>
      </c>
      <c r="E90" s="76" t="s">
        <v>295</v>
      </c>
      <c r="F90" s="76">
        <v>10</v>
      </c>
      <c r="G90" s="76"/>
      <c r="H90" s="77"/>
      <c r="I90" s="76" t="s">
        <v>300</v>
      </c>
    </row>
    <row r="91" spans="1:9" ht="19.5" customHeight="1" x14ac:dyDescent="0.25">
      <c r="A91" s="75" t="s">
        <v>257</v>
      </c>
      <c r="B91" s="76">
        <v>6</v>
      </c>
      <c r="C91" s="75" t="s">
        <v>301</v>
      </c>
      <c r="D91" s="76" t="s">
        <v>292</v>
      </c>
      <c r="E91" s="76" t="s">
        <v>295</v>
      </c>
      <c r="F91" s="76">
        <v>3</v>
      </c>
      <c r="G91" s="76"/>
      <c r="H91" s="77"/>
      <c r="I91" s="76" t="s">
        <v>300</v>
      </c>
    </row>
    <row r="92" spans="1:9" ht="19.5" customHeight="1" x14ac:dyDescent="0.25">
      <c r="A92" s="75" t="s">
        <v>257</v>
      </c>
      <c r="B92" s="76">
        <v>7</v>
      </c>
      <c r="C92" s="75" t="s">
        <v>317</v>
      </c>
      <c r="D92" s="76" t="s">
        <v>303</v>
      </c>
      <c r="E92" s="76" t="s">
        <v>298</v>
      </c>
      <c r="F92" s="76">
        <v>30</v>
      </c>
      <c r="G92" s="76"/>
      <c r="H92" s="77"/>
      <c r="I92" s="76" t="s">
        <v>300</v>
      </c>
    </row>
    <row r="93" spans="1:9" ht="19.5" customHeight="1" x14ac:dyDescent="0.25">
      <c r="A93" s="75" t="s">
        <v>257</v>
      </c>
      <c r="B93" s="76">
        <v>8</v>
      </c>
      <c r="C93" s="75" t="s">
        <v>304</v>
      </c>
      <c r="D93" s="76" t="s">
        <v>305</v>
      </c>
      <c r="E93" s="76" t="s">
        <v>306</v>
      </c>
      <c r="F93" s="76">
        <v>20</v>
      </c>
      <c r="G93" s="76"/>
      <c r="H93" s="77"/>
      <c r="I93" s="76" t="s">
        <v>300</v>
      </c>
    </row>
    <row r="94" spans="1:9" ht="18" customHeight="1" x14ac:dyDescent="0.25">
      <c r="A94" s="91" t="s">
        <v>322</v>
      </c>
      <c r="B94" s="91"/>
      <c r="C94" s="91"/>
      <c r="D94" s="91"/>
      <c r="E94" s="91"/>
      <c r="F94" s="91"/>
      <c r="G94" s="91"/>
      <c r="H94" s="91"/>
      <c r="I94" s="91"/>
    </row>
    <row r="95" spans="1:9" ht="19.5" customHeight="1" x14ac:dyDescent="0.25">
      <c r="A95" s="66" t="s">
        <v>262</v>
      </c>
      <c r="B95" s="67">
        <v>1</v>
      </c>
      <c r="C95" s="66" t="s">
        <v>29</v>
      </c>
      <c r="D95" s="67" t="s">
        <v>292</v>
      </c>
      <c r="E95" s="67" t="s">
        <v>293</v>
      </c>
      <c r="F95" s="67">
        <v>5</v>
      </c>
      <c r="G95" s="67"/>
      <c r="H95" s="68"/>
      <c r="I95" s="67" t="s">
        <v>294</v>
      </c>
    </row>
    <row r="96" spans="1:9" ht="19.5" customHeight="1" x14ac:dyDescent="0.25">
      <c r="A96" s="66" t="s">
        <v>262</v>
      </c>
      <c r="B96" s="67">
        <v>2</v>
      </c>
      <c r="C96" s="66" t="s">
        <v>31</v>
      </c>
      <c r="D96" s="67" t="s">
        <v>292</v>
      </c>
      <c r="E96" s="67" t="s">
        <v>295</v>
      </c>
      <c r="F96" s="67">
        <v>45</v>
      </c>
      <c r="G96" s="67"/>
      <c r="H96" s="68"/>
      <c r="I96" s="67" t="s">
        <v>294</v>
      </c>
    </row>
    <row r="97" spans="1:9" ht="19.5" customHeight="1" x14ac:dyDescent="0.25">
      <c r="A97" s="66" t="s">
        <v>262</v>
      </c>
      <c r="B97" s="67">
        <v>3</v>
      </c>
      <c r="C97" s="66" t="s">
        <v>33</v>
      </c>
      <c r="D97" s="67" t="s">
        <v>292</v>
      </c>
      <c r="E97" s="67" t="s">
        <v>295</v>
      </c>
      <c r="F97" s="67">
        <v>10</v>
      </c>
      <c r="G97" s="67"/>
      <c r="H97" s="68"/>
      <c r="I97" s="67" t="s">
        <v>294</v>
      </c>
    </row>
    <row r="98" spans="1:9" ht="19.5" customHeight="1" x14ac:dyDescent="0.25">
      <c r="A98" s="66" t="s">
        <v>262</v>
      </c>
      <c r="B98" s="67">
        <v>4</v>
      </c>
      <c r="C98" s="66" t="s">
        <v>37</v>
      </c>
      <c r="D98" s="67" t="s">
        <v>292</v>
      </c>
      <c r="E98" s="67" t="s">
        <v>295</v>
      </c>
      <c r="F98" s="67">
        <v>10</v>
      </c>
      <c r="G98" s="67"/>
      <c r="H98" s="68"/>
      <c r="I98" s="67" t="s">
        <v>294</v>
      </c>
    </row>
    <row r="99" spans="1:9" ht="19.5" customHeight="1" x14ac:dyDescent="0.25">
      <c r="A99" s="66" t="s">
        <v>262</v>
      </c>
      <c r="B99" s="67">
        <v>5</v>
      </c>
      <c r="C99" s="66" t="s">
        <v>38</v>
      </c>
      <c r="D99" s="67" t="s">
        <v>292</v>
      </c>
      <c r="E99" s="67" t="s">
        <v>295</v>
      </c>
      <c r="F99" s="67">
        <v>10</v>
      </c>
      <c r="G99" s="67"/>
      <c r="H99" s="68"/>
      <c r="I99" s="67" t="s">
        <v>294</v>
      </c>
    </row>
    <row r="100" spans="1:9" ht="19.5" customHeight="1" x14ac:dyDescent="0.25">
      <c r="A100" s="66" t="s">
        <v>262</v>
      </c>
      <c r="B100" s="67">
        <v>6</v>
      </c>
      <c r="C100" s="66" t="s">
        <v>301</v>
      </c>
      <c r="D100" s="67" t="s">
        <v>292</v>
      </c>
      <c r="E100" s="67" t="s">
        <v>295</v>
      </c>
      <c r="F100" s="67">
        <v>3</v>
      </c>
      <c r="G100" s="67"/>
      <c r="H100" s="68"/>
      <c r="I100" s="67" t="s">
        <v>294</v>
      </c>
    </row>
    <row r="101" spans="1:9" ht="19.5" customHeight="1" x14ac:dyDescent="0.25">
      <c r="A101" s="66" t="s">
        <v>262</v>
      </c>
      <c r="B101" s="67">
        <v>7</v>
      </c>
      <c r="C101" s="66" t="s">
        <v>317</v>
      </c>
      <c r="D101" s="67" t="s">
        <v>303</v>
      </c>
      <c r="E101" s="67" t="s">
        <v>298</v>
      </c>
      <c r="F101" s="67">
        <v>30</v>
      </c>
      <c r="G101" s="67"/>
      <c r="H101" s="68"/>
      <c r="I101" s="67" t="s">
        <v>294</v>
      </c>
    </row>
    <row r="102" spans="1:9" ht="19.5" customHeight="1" x14ac:dyDescent="0.25">
      <c r="A102" s="78" t="s">
        <v>262</v>
      </c>
      <c r="B102" s="79">
        <v>8</v>
      </c>
      <c r="C102" s="78" t="s">
        <v>304</v>
      </c>
      <c r="D102" s="79" t="s">
        <v>305</v>
      </c>
      <c r="E102" s="79" t="s">
        <v>306</v>
      </c>
      <c r="F102" s="79">
        <v>20</v>
      </c>
      <c r="G102" s="79"/>
      <c r="H102" s="80"/>
      <c r="I102" s="79" t="s">
        <v>323</v>
      </c>
    </row>
    <row r="103" spans="1:9" ht="18" customHeight="1" x14ac:dyDescent="0.25">
      <c r="A103" s="91" t="s">
        <v>324</v>
      </c>
      <c r="B103" s="91"/>
      <c r="C103" s="91"/>
      <c r="D103" s="91"/>
      <c r="E103" s="91"/>
      <c r="F103" s="91"/>
      <c r="G103" s="91"/>
      <c r="H103" s="91"/>
      <c r="I103" s="91"/>
    </row>
    <row r="104" spans="1:9" ht="19.5" customHeight="1" x14ac:dyDescent="0.25">
      <c r="A104" s="66" t="s">
        <v>267</v>
      </c>
      <c r="B104" s="67">
        <v>1</v>
      </c>
      <c r="C104" s="66" t="s">
        <v>29</v>
      </c>
      <c r="D104" s="67" t="s">
        <v>292</v>
      </c>
      <c r="E104" s="67" t="s">
        <v>293</v>
      </c>
      <c r="F104" s="67">
        <v>5</v>
      </c>
      <c r="G104" s="67"/>
      <c r="H104" s="68"/>
      <c r="I104" s="67" t="s">
        <v>294</v>
      </c>
    </row>
    <row r="105" spans="1:9" ht="19.5" customHeight="1" x14ac:dyDescent="0.25">
      <c r="A105" s="66" t="s">
        <v>267</v>
      </c>
      <c r="B105" s="67">
        <v>2</v>
      </c>
      <c r="C105" s="66" t="s">
        <v>31</v>
      </c>
      <c r="D105" s="67" t="s">
        <v>292</v>
      </c>
      <c r="E105" s="67" t="s">
        <v>295</v>
      </c>
      <c r="F105" s="67">
        <v>45</v>
      </c>
      <c r="G105" s="67"/>
      <c r="H105" s="68"/>
      <c r="I105" s="67" t="s">
        <v>294</v>
      </c>
    </row>
    <row r="106" spans="1:9" ht="19.5" customHeight="1" x14ac:dyDescent="0.25">
      <c r="A106" s="66" t="s">
        <v>267</v>
      </c>
      <c r="B106" s="67">
        <v>3</v>
      </c>
      <c r="C106" s="66" t="s">
        <v>33</v>
      </c>
      <c r="D106" s="67" t="s">
        <v>292</v>
      </c>
      <c r="E106" s="67" t="s">
        <v>295</v>
      </c>
      <c r="F106" s="67">
        <v>10</v>
      </c>
      <c r="G106" s="67"/>
      <c r="H106" s="68"/>
      <c r="I106" s="67" t="s">
        <v>294</v>
      </c>
    </row>
    <row r="107" spans="1:9" ht="19.5" customHeight="1" x14ac:dyDescent="0.25">
      <c r="A107" s="66" t="s">
        <v>267</v>
      </c>
      <c r="B107" s="67">
        <v>4</v>
      </c>
      <c r="C107" s="66" t="s">
        <v>297</v>
      </c>
      <c r="D107" s="67" t="s">
        <v>292</v>
      </c>
      <c r="E107" s="67" t="s">
        <v>298</v>
      </c>
      <c r="F107" s="67">
        <v>15</v>
      </c>
      <c r="G107" s="67"/>
      <c r="H107" s="68"/>
      <c r="I107" s="67" t="s">
        <v>294</v>
      </c>
    </row>
    <row r="108" spans="1:9" ht="19.5" customHeight="1" x14ac:dyDescent="0.25">
      <c r="A108" s="66" t="s">
        <v>267</v>
      </c>
      <c r="B108" s="67">
        <v>5</v>
      </c>
      <c r="C108" s="66" t="s">
        <v>37</v>
      </c>
      <c r="D108" s="67" t="s">
        <v>292</v>
      </c>
      <c r="E108" s="67" t="s">
        <v>295</v>
      </c>
      <c r="F108" s="67">
        <v>10</v>
      </c>
      <c r="G108" s="67"/>
      <c r="H108" s="68"/>
      <c r="I108" s="67" t="s">
        <v>294</v>
      </c>
    </row>
    <row r="109" spans="1:9" ht="19.5" customHeight="1" x14ac:dyDescent="0.25">
      <c r="A109" s="66" t="s">
        <v>267</v>
      </c>
      <c r="B109" s="67">
        <v>6</v>
      </c>
      <c r="C109" s="66" t="s">
        <v>38</v>
      </c>
      <c r="D109" s="67" t="s">
        <v>292</v>
      </c>
      <c r="E109" s="67" t="s">
        <v>295</v>
      </c>
      <c r="F109" s="67">
        <v>10</v>
      </c>
      <c r="G109" s="67"/>
      <c r="H109" s="68"/>
      <c r="I109" s="67" t="s">
        <v>294</v>
      </c>
    </row>
    <row r="110" spans="1:9" ht="19.5" customHeight="1" x14ac:dyDescent="0.25">
      <c r="A110" s="66" t="s">
        <v>267</v>
      </c>
      <c r="B110" s="67">
        <v>7</v>
      </c>
      <c r="C110" s="66" t="s">
        <v>301</v>
      </c>
      <c r="D110" s="67" t="s">
        <v>292</v>
      </c>
      <c r="E110" s="67" t="s">
        <v>295</v>
      </c>
      <c r="F110" s="67">
        <v>3</v>
      </c>
      <c r="G110" s="67"/>
      <c r="H110" s="68"/>
      <c r="I110" s="67" t="s">
        <v>294</v>
      </c>
    </row>
    <row r="111" spans="1:9" ht="19.5" customHeight="1" x14ac:dyDescent="0.25">
      <c r="A111" s="69" t="s">
        <v>267</v>
      </c>
      <c r="B111" s="70">
        <v>8</v>
      </c>
      <c r="C111" s="69" t="s">
        <v>302</v>
      </c>
      <c r="D111" s="70" t="s">
        <v>303</v>
      </c>
      <c r="E111" s="70" t="s">
        <v>298</v>
      </c>
      <c r="F111" s="70">
        <v>90</v>
      </c>
      <c r="G111" s="70"/>
      <c r="H111" s="71"/>
      <c r="I111" s="70" t="s">
        <v>224</v>
      </c>
    </row>
    <row r="112" spans="1:9" ht="19.5" customHeight="1" x14ac:dyDescent="0.25">
      <c r="A112" s="78" t="s">
        <v>267</v>
      </c>
      <c r="B112" s="79">
        <v>9</v>
      </c>
      <c r="C112" s="78" t="s">
        <v>304</v>
      </c>
      <c r="D112" s="79" t="s">
        <v>305</v>
      </c>
      <c r="E112" s="79" t="s">
        <v>306</v>
      </c>
      <c r="F112" s="79">
        <v>20</v>
      </c>
      <c r="G112" s="79"/>
      <c r="H112" s="80"/>
      <c r="I112" s="79" t="s">
        <v>323</v>
      </c>
    </row>
    <row r="113" spans="1:9" ht="18" customHeight="1" x14ac:dyDescent="0.25">
      <c r="A113" s="91" t="s">
        <v>325</v>
      </c>
      <c r="B113" s="91"/>
      <c r="C113" s="91"/>
      <c r="D113" s="91"/>
      <c r="E113" s="91"/>
      <c r="F113" s="91"/>
      <c r="G113" s="91"/>
      <c r="H113" s="91"/>
      <c r="I113" s="91"/>
    </row>
    <row r="114" spans="1:9" ht="19.5" customHeight="1" x14ac:dyDescent="0.25">
      <c r="A114" s="66" t="s">
        <v>272</v>
      </c>
      <c r="B114" s="67">
        <v>1</v>
      </c>
      <c r="C114" s="66" t="s">
        <v>29</v>
      </c>
      <c r="D114" s="67" t="s">
        <v>292</v>
      </c>
      <c r="E114" s="67" t="s">
        <v>293</v>
      </c>
      <c r="F114" s="67">
        <v>5</v>
      </c>
      <c r="G114" s="81">
        <v>45895</v>
      </c>
      <c r="H114" s="68"/>
      <c r="I114" s="67" t="s">
        <v>294</v>
      </c>
    </row>
    <row r="115" spans="1:9" ht="19.5" customHeight="1" x14ac:dyDescent="0.25">
      <c r="A115" s="66" t="s">
        <v>272</v>
      </c>
      <c r="B115" s="67">
        <v>2</v>
      </c>
      <c r="C115" s="66" t="s">
        <v>31</v>
      </c>
      <c r="D115" s="67" t="s">
        <v>292</v>
      </c>
      <c r="E115" s="67" t="s">
        <v>295</v>
      </c>
      <c r="F115" s="67">
        <v>45</v>
      </c>
      <c r="G115" s="82">
        <v>45986</v>
      </c>
      <c r="H115" s="68" t="s">
        <v>326</v>
      </c>
      <c r="I115" s="67" t="s">
        <v>294</v>
      </c>
    </row>
    <row r="116" spans="1:9" ht="19.5" customHeight="1" x14ac:dyDescent="0.25">
      <c r="A116" s="66" t="s">
        <v>272</v>
      </c>
      <c r="B116" s="67">
        <v>3</v>
      </c>
      <c r="C116" s="66" t="s">
        <v>33</v>
      </c>
      <c r="D116" s="67" t="s">
        <v>292</v>
      </c>
      <c r="E116" s="67" t="s">
        <v>295</v>
      </c>
      <c r="F116" s="67">
        <v>10</v>
      </c>
      <c r="G116" s="82">
        <v>45986</v>
      </c>
      <c r="H116" s="68"/>
      <c r="I116" s="67" t="s">
        <v>294</v>
      </c>
    </row>
    <row r="117" spans="1:9" ht="19.5" customHeight="1" x14ac:dyDescent="0.25">
      <c r="A117" s="66" t="s">
        <v>272</v>
      </c>
      <c r="B117" s="67">
        <v>4</v>
      </c>
      <c r="C117" s="66" t="s">
        <v>297</v>
      </c>
      <c r="D117" s="67" t="s">
        <v>292</v>
      </c>
      <c r="E117" s="67" t="s">
        <v>298</v>
      </c>
      <c r="F117" s="67">
        <v>15</v>
      </c>
      <c r="G117" s="82">
        <v>46037</v>
      </c>
      <c r="H117" s="68" t="s">
        <v>327</v>
      </c>
      <c r="I117" s="67" t="s">
        <v>294</v>
      </c>
    </row>
    <row r="118" spans="1:9" ht="19.5" customHeight="1" x14ac:dyDescent="0.25">
      <c r="A118" s="66" t="s">
        <v>272</v>
      </c>
      <c r="B118" s="67">
        <v>5</v>
      </c>
      <c r="C118" s="66" t="s">
        <v>37</v>
      </c>
      <c r="D118" s="67" t="s">
        <v>292</v>
      </c>
      <c r="E118" s="67" t="s">
        <v>295</v>
      </c>
      <c r="F118" s="67">
        <v>10</v>
      </c>
      <c r="G118" s="81">
        <v>46098</v>
      </c>
      <c r="H118" s="68" t="s">
        <v>328</v>
      </c>
      <c r="I118" s="67" t="s">
        <v>294</v>
      </c>
    </row>
    <row r="119" spans="1:9" ht="19.5" customHeight="1" x14ac:dyDescent="0.25">
      <c r="A119" s="66" t="s">
        <v>272</v>
      </c>
      <c r="B119" s="67">
        <v>6</v>
      </c>
      <c r="C119" s="66" t="s">
        <v>38</v>
      </c>
      <c r="D119" s="67" t="s">
        <v>292</v>
      </c>
      <c r="E119" s="67" t="s">
        <v>295</v>
      </c>
      <c r="F119" s="67">
        <v>10</v>
      </c>
      <c r="G119" s="81">
        <v>46104</v>
      </c>
      <c r="H119" s="68"/>
      <c r="I119" s="67" t="s">
        <v>294</v>
      </c>
    </row>
    <row r="120" spans="1:9" ht="19.5" customHeight="1" x14ac:dyDescent="0.25">
      <c r="A120" s="66" t="s">
        <v>272</v>
      </c>
      <c r="B120" s="67">
        <v>7</v>
      </c>
      <c r="C120" s="66" t="s">
        <v>301</v>
      </c>
      <c r="D120" s="67" t="s">
        <v>292</v>
      </c>
      <c r="E120" s="67" t="s">
        <v>295</v>
      </c>
      <c r="F120" s="67">
        <v>3</v>
      </c>
      <c r="G120" s="81">
        <v>46105</v>
      </c>
      <c r="H120" s="68"/>
      <c r="I120" s="67" t="s">
        <v>294</v>
      </c>
    </row>
    <row r="121" spans="1:9" ht="19.5" customHeight="1" x14ac:dyDescent="0.25">
      <c r="A121" s="69" t="s">
        <v>272</v>
      </c>
      <c r="B121" s="70">
        <v>8</v>
      </c>
      <c r="C121" s="69" t="s">
        <v>302</v>
      </c>
      <c r="D121" s="70" t="s">
        <v>303</v>
      </c>
      <c r="E121" s="70" t="s">
        <v>298</v>
      </c>
      <c r="F121" s="70">
        <v>90</v>
      </c>
      <c r="G121" s="70"/>
      <c r="H121" s="71"/>
      <c r="I121" s="70" t="s">
        <v>224</v>
      </c>
    </row>
    <row r="122" spans="1:9" ht="19.5" customHeight="1" x14ac:dyDescent="0.25">
      <c r="A122" s="78" t="s">
        <v>272</v>
      </c>
      <c r="B122" s="79">
        <v>9</v>
      </c>
      <c r="C122" s="78" t="s">
        <v>304</v>
      </c>
      <c r="D122" s="79" t="s">
        <v>305</v>
      </c>
      <c r="E122" s="79" t="s">
        <v>306</v>
      </c>
      <c r="F122" s="79">
        <v>20</v>
      </c>
      <c r="G122" s="79"/>
      <c r="H122" s="80"/>
      <c r="I122" s="79" t="s">
        <v>323</v>
      </c>
    </row>
    <row r="123" spans="1:9" ht="18" customHeight="1" x14ac:dyDescent="0.25">
      <c r="A123" s="91" t="s">
        <v>329</v>
      </c>
      <c r="B123" s="91"/>
      <c r="C123" s="91"/>
      <c r="D123" s="91"/>
      <c r="E123" s="91"/>
      <c r="F123" s="91"/>
      <c r="G123" s="91"/>
      <c r="H123" s="91"/>
      <c r="I123" s="91"/>
    </row>
    <row r="124" spans="1:9" ht="19.5" customHeight="1" x14ac:dyDescent="0.25">
      <c r="A124" s="66" t="s">
        <v>276</v>
      </c>
      <c r="B124" s="67">
        <v>1</v>
      </c>
      <c r="C124" s="66" t="s">
        <v>29</v>
      </c>
      <c r="D124" s="67" t="s">
        <v>292</v>
      </c>
      <c r="E124" s="67" t="s">
        <v>293</v>
      </c>
      <c r="F124" s="67">
        <v>5</v>
      </c>
      <c r="G124" s="67"/>
      <c r="H124" s="68"/>
      <c r="I124" s="67" t="s">
        <v>294</v>
      </c>
    </row>
    <row r="125" spans="1:9" ht="19.5" customHeight="1" x14ac:dyDescent="0.25">
      <c r="A125" s="66" t="s">
        <v>276</v>
      </c>
      <c r="B125" s="67">
        <v>2</v>
      </c>
      <c r="C125" s="66" t="s">
        <v>31</v>
      </c>
      <c r="D125" s="67" t="s">
        <v>292</v>
      </c>
      <c r="E125" s="67" t="s">
        <v>295</v>
      </c>
      <c r="F125" s="67">
        <v>45</v>
      </c>
      <c r="G125" s="67"/>
      <c r="H125" s="68"/>
      <c r="I125" s="67" t="s">
        <v>294</v>
      </c>
    </row>
    <row r="126" spans="1:9" ht="19.5" customHeight="1" x14ac:dyDescent="0.25">
      <c r="A126" s="69" t="s">
        <v>276</v>
      </c>
      <c r="B126" s="70">
        <v>3</v>
      </c>
      <c r="C126" s="69" t="s">
        <v>33</v>
      </c>
      <c r="D126" s="70" t="s">
        <v>292</v>
      </c>
      <c r="E126" s="70" t="s">
        <v>295</v>
      </c>
      <c r="F126" s="70">
        <v>10</v>
      </c>
      <c r="G126" s="70"/>
      <c r="H126" s="71"/>
      <c r="I126" s="70" t="s">
        <v>224</v>
      </c>
    </row>
    <row r="127" spans="1:9" ht="19.5" customHeight="1" x14ac:dyDescent="0.25">
      <c r="A127" s="75" t="s">
        <v>276</v>
      </c>
      <c r="B127" s="76">
        <v>4</v>
      </c>
      <c r="C127" s="75" t="s">
        <v>37</v>
      </c>
      <c r="D127" s="76" t="s">
        <v>292</v>
      </c>
      <c r="E127" s="76" t="s">
        <v>295</v>
      </c>
      <c r="F127" s="76">
        <v>10</v>
      </c>
      <c r="G127" s="76"/>
      <c r="H127" s="77"/>
      <c r="I127" s="76" t="s">
        <v>300</v>
      </c>
    </row>
    <row r="128" spans="1:9" ht="19.5" customHeight="1" x14ac:dyDescent="0.25">
      <c r="A128" s="75" t="s">
        <v>276</v>
      </c>
      <c r="B128" s="76">
        <v>5</v>
      </c>
      <c r="C128" s="75" t="s">
        <v>38</v>
      </c>
      <c r="D128" s="76" t="s">
        <v>292</v>
      </c>
      <c r="E128" s="76" t="s">
        <v>295</v>
      </c>
      <c r="F128" s="76">
        <v>10</v>
      </c>
      <c r="G128" s="76"/>
      <c r="H128" s="77"/>
      <c r="I128" s="76" t="s">
        <v>300</v>
      </c>
    </row>
    <row r="129" spans="1:9" ht="19.5" customHeight="1" x14ac:dyDescent="0.25">
      <c r="A129" s="75" t="s">
        <v>276</v>
      </c>
      <c r="B129" s="76">
        <v>6</v>
      </c>
      <c r="C129" s="75" t="s">
        <v>301</v>
      </c>
      <c r="D129" s="76" t="s">
        <v>292</v>
      </c>
      <c r="E129" s="76" t="s">
        <v>295</v>
      </c>
      <c r="F129" s="76">
        <v>3</v>
      </c>
      <c r="G129" s="76"/>
      <c r="H129" s="77"/>
      <c r="I129" s="76" t="s">
        <v>300</v>
      </c>
    </row>
    <row r="130" spans="1:9" ht="19.5" customHeight="1" x14ac:dyDescent="0.25">
      <c r="A130" s="75" t="s">
        <v>276</v>
      </c>
      <c r="B130" s="76">
        <v>7</v>
      </c>
      <c r="C130" s="75" t="s">
        <v>302</v>
      </c>
      <c r="D130" s="76" t="s">
        <v>303</v>
      </c>
      <c r="E130" s="76" t="s">
        <v>298</v>
      </c>
      <c r="F130" s="76">
        <v>90</v>
      </c>
      <c r="G130" s="76"/>
      <c r="H130" s="77"/>
      <c r="I130" s="76" t="s">
        <v>300</v>
      </c>
    </row>
    <row r="131" spans="1:9" ht="19.5" customHeight="1" x14ac:dyDescent="0.25">
      <c r="A131" s="75" t="s">
        <v>276</v>
      </c>
      <c r="B131" s="76">
        <v>8</v>
      </c>
      <c r="C131" s="75" t="s">
        <v>304</v>
      </c>
      <c r="D131" s="76" t="s">
        <v>305</v>
      </c>
      <c r="E131" s="76" t="s">
        <v>306</v>
      </c>
      <c r="F131" s="76">
        <v>20</v>
      </c>
      <c r="G131" s="76"/>
      <c r="H131" s="77"/>
      <c r="I131" s="76" t="s">
        <v>300</v>
      </c>
    </row>
    <row r="132" spans="1:9" ht="18" customHeight="1" x14ac:dyDescent="0.25">
      <c r="A132" s="91" t="s">
        <v>330</v>
      </c>
      <c r="B132" s="91"/>
      <c r="C132" s="91"/>
      <c r="D132" s="91"/>
      <c r="E132" s="91"/>
      <c r="F132" s="91"/>
      <c r="G132" s="91"/>
      <c r="H132" s="91"/>
      <c r="I132" s="91"/>
    </row>
    <row r="133" spans="1:9" ht="19.5" customHeight="1" x14ac:dyDescent="0.25">
      <c r="A133" s="66" t="s">
        <v>280</v>
      </c>
      <c r="B133" s="67">
        <v>1</v>
      </c>
      <c r="C133" s="66" t="s">
        <v>29</v>
      </c>
      <c r="D133" s="67" t="s">
        <v>292</v>
      </c>
      <c r="E133" s="67" t="s">
        <v>293</v>
      </c>
      <c r="F133" s="67">
        <v>5</v>
      </c>
      <c r="G133" s="81">
        <v>46098</v>
      </c>
      <c r="H133" s="68" t="s">
        <v>331</v>
      </c>
      <c r="I133" s="67" t="s">
        <v>294</v>
      </c>
    </row>
    <row r="134" spans="1:9" ht="19.5" customHeight="1" x14ac:dyDescent="0.25">
      <c r="A134" s="69" t="s">
        <v>280</v>
      </c>
      <c r="B134" s="70">
        <v>2</v>
      </c>
      <c r="C134" s="69" t="s">
        <v>31</v>
      </c>
      <c r="D134" s="70" t="s">
        <v>292</v>
      </c>
      <c r="E134" s="70" t="s">
        <v>295</v>
      </c>
      <c r="F134" s="70">
        <v>45</v>
      </c>
      <c r="G134" s="70"/>
      <c r="H134" s="71"/>
      <c r="I134" s="70" t="s">
        <v>224</v>
      </c>
    </row>
    <row r="135" spans="1:9" ht="19.5" customHeight="1" x14ac:dyDescent="0.25">
      <c r="A135" s="69" t="s">
        <v>280</v>
      </c>
      <c r="B135" s="70">
        <v>3</v>
      </c>
      <c r="C135" s="69" t="s">
        <v>33</v>
      </c>
      <c r="D135" s="70" t="s">
        <v>292</v>
      </c>
      <c r="E135" s="70" t="s">
        <v>295</v>
      </c>
      <c r="F135" s="70">
        <v>10</v>
      </c>
      <c r="G135" s="70"/>
      <c r="H135" s="71"/>
      <c r="I135" s="70" t="s">
        <v>224</v>
      </c>
    </row>
    <row r="136" spans="1:9" ht="19.5" customHeight="1" x14ac:dyDescent="0.25">
      <c r="A136" s="75" t="s">
        <v>280</v>
      </c>
      <c r="B136" s="76">
        <v>4</v>
      </c>
      <c r="C136" s="75" t="s">
        <v>37</v>
      </c>
      <c r="D136" s="76" t="s">
        <v>292</v>
      </c>
      <c r="E136" s="76" t="s">
        <v>295</v>
      </c>
      <c r="F136" s="76">
        <v>10</v>
      </c>
      <c r="G136" s="76"/>
      <c r="H136" s="77"/>
      <c r="I136" s="76" t="s">
        <v>300</v>
      </c>
    </row>
    <row r="137" spans="1:9" ht="19.5" customHeight="1" x14ac:dyDescent="0.25">
      <c r="A137" s="75" t="s">
        <v>280</v>
      </c>
      <c r="B137" s="76">
        <v>5</v>
      </c>
      <c r="C137" s="75" t="s">
        <v>38</v>
      </c>
      <c r="D137" s="76" t="s">
        <v>292</v>
      </c>
      <c r="E137" s="76" t="s">
        <v>295</v>
      </c>
      <c r="F137" s="76">
        <v>10</v>
      </c>
      <c r="G137" s="76"/>
      <c r="H137" s="77"/>
      <c r="I137" s="76" t="s">
        <v>300</v>
      </c>
    </row>
    <row r="138" spans="1:9" ht="19.5" customHeight="1" x14ac:dyDescent="0.25">
      <c r="A138" s="75" t="s">
        <v>280</v>
      </c>
      <c r="B138" s="76">
        <v>6</v>
      </c>
      <c r="C138" s="75" t="s">
        <v>301</v>
      </c>
      <c r="D138" s="76" t="s">
        <v>292</v>
      </c>
      <c r="E138" s="76" t="s">
        <v>295</v>
      </c>
      <c r="F138" s="76">
        <v>3</v>
      </c>
      <c r="G138" s="76"/>
      <c r="H138" s="77"/>
      <c r="I138" s="76" t="s">
        <v>300</v>
      </c>
    </row>
    <row r="139" spans="1:9" ht="19.5" customHeight="1" x14ac:dyDescent="0.25">
      <c r="A139" s="75" t="s">
        <v>280</v>
      </c>
      <c r="B139" s="76">
        <v>7</v>
      </c>
      <c r="C139" s="75" t="s">
        <v>302</v>
      </c>
      <c r="D139" s="76" t="s">
        <v>303</v>
      </c>
      <c r="E139" s="76" t="s">
        <v>298</v>
      </c>
      <c r="F139" s="76">
        <v>90</v>
      </c>
      <c r="G139" s="76"/>
      <c r="H139" s="77"/>
      <c r="I139" s="76" t="s">
        <v>300</v>
      </c>
    </row>
    <row r="140" spans="1:9" ht="19.5" customHeight="1" x14ac:dyDescent="0.25">
      <c r="A140" s="75" t="s">
        <v>280</v>
      </c>
      <c r="B140" s="76">
        <v>8</v>
      </c>
      <c r="C140" s="75" t="s">
        <v>304</v>
      </c>
      <c r="D140" s="76" t="s">
        <v>305</v>
      </c>
      <c r="E140" s="76" t="s">
        <v>306</v>
      </c>
      <c r="F140" s="76">
        <v>20</v>
      </c>
      <c r="G140" s="76"/>
      <c r="H140" s="77"/>
      <c r="I140" s="76" t="s">
        <v>300</v>
      </c>
    </row>
    <row r="141" spans="1:9" ht="19.5" customHeight="1" x14ac:dyDescent="0.25">
      <c r="A141" s="78"/>
      <c r="B141" s="79"/>
      <c r="C141" s="78"/>
      <c r="D141" s="79"/>
      <c r="E141" s="79"/>
      <c r="F141" s="79"/>
      <c r="G141" s="79"/>
      <c r="H141" s="80"/>
      <c r="I141" s="79"/>
    </row>
    <row r="142" spans="1:9" ht="15.75" customHeight="1" x14ac:dyDescent="0.25"/>
    <row r="143" spans="1:9" ht="15.75" customHeight="1" x14ac:dyDescent="0.25"/>
    <row r="144" spans="1:9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A132:I132"/>
    <mergeCell ref="A85:I85"/>
    <mergeCell ref="A94:I94"/>
    <mergeCell ref="A103:I103"/>
    <mergeCell ref="A113:I113"/>
    <mergeCell ref="A123:I123"/>
    <mergeCell ref="A40:I40"/>
    <mergeCell ref="A49:I49"/>
    <mergeCell ref="A58:I58"/>
    <mergeCell ref="A67:I67"/>
    <mergeCell ref="A76:I76"/>
    <mergeCell ref="A1:I1"/>
    <mergeCell ref="A3:I3"/>
    <mergeCell ref="A13:I13"/>
    <mergeCell ref="A22:I22"/>
    <mergeCell ref="A31:I31"/>
  </mergeCells>
  <conditionalFormatting sqref="C4:C140">
    <cfRule type="expression" dxfId="14" priority="2">
      <formula>$I4="Concluída"</formula>
    </cfRule>
    <cfRule type="expression" dxfId="13" priority="3">
      <formula>$I4="Em andamento"</formula>
    </cfRule>
    <cfRule type="expression" dxfId="12" priority="4">
      <formula>$I4="Não iniciada"</formula>
    </cfRule>
  </conditionalFormatting>
  <conditionalFormatting sqref="I4:I140">
    <cfRule type="expression" dxfId="11" priority="5">
      <formula>$I4="Concluída"</formula>
    </cfRule>
    <cfRule type="expression" dxfId="10" priority="6">
      <formula>$I4="Em andamento"</formula>
    </cfRule>
    <cfRule type="expression" dxfId="9" priority="7">
      <formula>$I4="Não iniciada"</formula>
    </cfRule>
  </conditionalFormatting>
  <conditionalFormatting sqref="G4:G140">
    <cfRule type="expression" dxfId="8" priority="8">
      <formula>$I4="Concluída"</formula>
    </cfRule>
    <cfRule type="expression" dxfId="7" priority="9">
      <formula>$I4="Em andamento"</formula>
    </cfRule>
    <cfRule type="expression" dxfId="6" priority="10">
      <formula>$I4="Não iniciada"</formula>
    </cfRule>
  </conditionalFormatting>
  <conditionalFormatting sqref="H4:H140">
    <cfRule type="expression" dxfId="5" priority="11">
      <formula>$I4="Concluída"</formula>
    </cfRule>
    <cfRule type="expression" dxfId="4" priority="12">
      <formula>$I4="Em andamento"</formula>
    </cfRule>
    <cfRule type="expression" dxfId="3" priority="13">
      <formula>$I4="Não iniciada"</formula>
    </cfRule>
  </conditionalFormatting>
  <dataValidations count="2">
    <dataValidation type="list" allowBlank="1" showInputMessage="1" showErrorMessage="1" prompt="Clique e digite um valor da lista de itens" sqref="I4:I12 I14:I21 I23:I30 I32:I39 I41:I48 I50:I57 I59:I66 I68:I75 I77:I84 I86:I93 I95:I102 I104:I112 I114:I122 I124:I131 I133:I500" xr:uid="{00000000-0002-0000-0400-000000000000}">
      <formula1>"Não iniciada,Aguardando requisitante,Em andamento,Concluída,Não se aplica,Paralisado"</formula1>
      <formula2>0</formula2>
    </dataValidation>
    <dataValidation type="custom" allowBlank="1" showDropDown="1" showErrorMessage="1" sqref="G2 G4:G12 G14:G21 G23:G30 G32:G39 G41:G48 G50:G57 G59:G66 G68:G75 G77:G84 G86:G93 G95:G102 G104:G112 G114:G122 G124:G131 G133:G1000" xr:uid="{00000000-0002-0000-0400-000001000000}">
      <formula1>OR(NOT(ISERROR(DATEVALUE(G2))), AND(ISNUMBER(G2), LEFT(CELL("format", G2))="D"))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41.85546875" style="11" customWidth="1"/>
    <col min="2" max="5" width="12.42578125" style="11" customWidth="1"/>
    <col min="6" max="6" width="16.140625" style="11" customWidth="1"/>
    <col min="7" max="16384" width="8.7109375" style="11"/>
  </cols>
  <sheetData>
    <row r="1" spans="1:6" ht="16.5" x14ac:dyDescent="0.25">
      <c r="A1" s="108" t="s">
        <v>332</v>
      </c>
      <c r="B1" s="108"/>
      <c r="C1" s="108"/>
      <c r="D1" s="108"/>
      <c r="E1" s="108"/>
      <c r="F1" s="108"/>
    </row>
    <row r="2" spans="1:6" ht="27.75" customHeight="1" x14ac:dyDescent="0.25">
      <c r="A2" s="109" t="s">
        <v>333</v>
      </c>
      <c r="B2" s="109"/>
      <c r="C2" s="109"/>
      <c r="D2" s="109"/>
      <c r="E2" s="109"/>
      <c r="F2" s="109"/>
    </row>
    <row r="3" spans="1:6" ht="24" x14ac:dyDescent="0.25">
      <c r="A3" s="83" t="s">
        <v>334</v>
      </c>
      <c r="B3" s="83" t="s">
        <v>335</v>
      </c>
      <c r="C3" s="83" t="s">
        <v>336</v>
      </c>
      <c r="D3" s="83" t="s">
        <v>337</v>
      </c>
      <c r="E3" s="83" t="s">
        <v>338</v>
      </c>
      <c r="F3" s="83" t="s">
        <v>339</v>
      </c>
    </row>
    <row r="4" spans="1:6" ht="24" x14ac:dyDescent="0.25">
      <c r="A4" s="84" t="s">
        <v>219</v>
      </c>
      <c r="B4" s="110">
        <v>3</v>
      </c>
      <c r="C4" s="110">
        <v>3</v>
      </c>
      <c r="D4" s="110">
        <v>3</v>
      </c>
      <c r="E4" s="110">
        <f t="shared" ref="E4:E18" si="0">B4*C4*D4</f>
        <v>27</v>
      </c>
      <c r="F4" s="110" t="s">
        <v>340</v>
      </c>
    </row>
    <row r="5" spans="1:6" x14ac:dyDescent="0.25">
      <c r="A5" s="84" t="s">
        <v>227</v>
      </c>
      <c r="B5" s="110">
        <v>3</v>
      </c>
      <c r="C5" s="110">
        <v>3</v>
      </c>
      <c r="D5" s="110">
        <v>3</v>
      </c>
      <c r="E5" s="110">
        <f t="shared" si="0"/>
        <v>27</v>
      </c>
      <c r="F5" s="110" t="s">
        <v>340</v>
      </c>
    </row>
    <row r="6" spans="1:6" ht="24" x14ac:dyDescent="0.25">
      <c r="A6" s="84" t="s">
        <v>264</v>
      </c>
      <c r="B6" s="110">
        <v>3</v>
      </c>
      <c r="C6" s="110">
        <v>3</v>
      </c>
      <c r="D6" s="110">
        <v>3</v>
      </c>
      <c r="E6" s="110">
        <f t="shared" si="0"/>
        <v>27</v>
      </c>
      <c r="F6" s="110" t="s">
        <v>340</v>
      </c>
    </row>
    <row r="7" spans="1:6" x14ac:dyDescent="0.25">
      <c r="A7" s="84" t="s">
        <v>274</v>
      </c>
      <c r="B7" s="110">
        <v>3</v>
      </c>
      <c r="C7" s="110">
        <v>3</v>
      </c>
      <c r="D7" s="110">
        <v>3</v>
      </c>
      <c r="E7" s="110">
        <f t="shared" si="0"/>
        <v>27</v>
      </c>
      <c r="F7" s="110" t="s">
        <v>340</v>
      </c>
    </row>
    <row r="8" spans="1:6" x14ac:dyDescent="0.25">
      <c r="A8" s="84" t="s">
        <v>232</v>
      </c>
      <c r="B8" s="110">
        <v>3</v>
      </c>
      <c r="C8" s="110">
        <v>2</v>
      </c>
      <c r="D8" s="110">
        <v>3</v>
      </c>
      <c r="E8" s="110">
        <f t="shared" si="0"/>
        <v>18</v>
      </c>
      <c r="F8" s="110" t="s">
        <v>340</v>
      </c>
    </row>
    <row r="9" spans="1:6" x14ac:dyDescent="0.25">
      <c r="A9" s="84" t="s">
        <v>241</v>
      </c>
      <c r="B9" s="110">
        <v>3</v>
      </c>
      <c r="C9" s="110">
        <v>2</v>
      </c>
      <c r="D9" s="110">
        <v>3</v>
      </c>
      <c r="E9" s="110">
        <f t="shared" si="0"/>
        <v>18</v>
      </c>
      <c r="F9" s="110" t="s">
        <v>340</v>
      </c>
    </row>
    <row r="10" spans="1:6" ht="24" x14ac:dyDescent="0.25">
      <c r="A10" s="84" t="s">
        <v>341</v>
      </c>
      <c r="B10" s="110">
        <v>3</v>
      </c>
      <c r="C10" s="110">
        <v>2</v>
      </c>
      <c r="D10" s="110">
        <v>3</v>
      </c>
      <c r="E10" s="110">
        <f t="shared" si="0"/>
        <v>18</v>
      </c>
      <c r="F10" s="110" t="s">
        <v>340</v>
      </c>
    </row>
    <row r="11" spans="1:6" ht="24" x14ac:dyDescent="0.25">
      <c r="A11" s="85" t="s">
        <v>342</v>
      </c>
      <c r="B11" s="111">
        <v>3</v>
      </c>
      <c r="C11" s="111">
        <v>1</v>
      </c>
      <c r="D11" s="111">
        <v>3</v>
      </c>
      <c r="E11" s="111">
        <f t="shared" si="0"/>
        <v>9</v>
      </c>
      <c r="F11" s="111" t="s">
        <v>343</v>
      </c>
    </row>
    <row r="12" spans="1:6" ht="24" x14ac:dyDescent="0.25">
      <c r="A12" s="85" t="s">
        <v>282</v>
      </c>
      <c r="B12" s="111">
        <v>1</v>
      </c>
      <c r="C12" s="111">
        <v>2</v>
      </c>
      <c r="D12" s="111">
        <v>2</v>
      </c>
      <c r="E12" s="111">
        <f t="shared" si="0"/>
        <v>4</v>
      </c>
      <c r="F12" s="111" t="s">
        <v>343</v>
      </c>
    </row>
    <row r="13" spans="1:6" x14ac:dyDescent="0.25">
      <c r="A13" s="85" t="s">
        <v>269</v>
      </c>
      <c r="B13" s="111">
        <v>1</v>
      </c>
      <c r="C13" s="111">
        <v>2</v>
      </c>
      <c r="D13" s="111">
        <v>1</v>
      </c>
      <c r="E13" s="111">
        <f t="shared" si="0"/>
        <v>2</v>
      </c>
      <c r="F13" s="111" t="s">
        <v>343</v>
      </c>
    </row>
    <row r="14" spans="1:6" ht="24" x14ac:dyDescent="0.25">
      <c r="A14" s="85" t="s">
        <v>237</v>
      </c>
      <c r="B14" s="111">
        <v>1</v>
      </c>
      <c r="C14" s="111">
        <v>1</v>
      </c>
      <c r="D14" s="111">
        <v>1</v>
      </c>
      <c r="E14" s="111">
        <f t="shared" si="0"/>
        <v>1</v>
      </c>
      <c r="F14" s="111" t="s">
        <v>343</v>
      </c>
    </row>
    <row r="15" spans="1:6" ht="24" x14ac:dyDescent="0.25">
      <c r="A15" s="85" t="s">
        <v>344</v>
      </c>
      <c r="B15" s="111">
        <v>1</v>
      </c>
      <c r="C15" s="111">
        <v>1</v>
      </c>
      <c r="D15" s="111">
        <v>1</v>
      </c>
      <c r="E15" s="111">
        <f t="shared" si="0"/>
        <v>1</v>
      </c>
      <c r="F15" s="111" t="s">
        <v>343</v>
      </c>
    </row>
    <row r="16" spans="1:6" ht="24" x14ac:dyDescent="0.25">
      <c r="A16" s="85" t="s">
        <v>248</v>
      </c>
      <c r="B16" s="111">
        <v>1</v>
      </c>
      <c r="C16" s="111">
        <v>1</v>
      </c>
      <c r="D16" s="111">
        <v>1</v>
      </c>
      <c r="E16" s="111">
        <f t="shared" si="0"/>
        <v>1</v>
      </c>
      <c r="F16" s="111" t="s">
        <v>343</v>
      </c>
    </row>
    <row r="17" spans="1:6" ht="24" x14ac:dyDescent="0.25">
      <c r="A17" s="85" t="s">
        <v>345</v>
      </c>
      <c r="B17" s="111">
        <v>1</v>
      </c>
      <c r="C17" s="111">
        <v>1</v>
      </c>
      <c r="D17" s="111">
        <v>1</v>
      </c>
      <c r="E17" s="111">
        <f t="shared" si="0"/>
        <v>1</v>
      </c>
      <c r="F17" s="111" t="s">
        <v>343</v>
      </c>
    </row>
    <row r="18" spans="1:6" ht="24" x14ac:dyDescent="0.25">
      <c r="A18" s="85" t="s">
        <v>278</v>
      </c>
      <c r="B18" s="111">
        <v>1</v>
      </c>
      <c r="C18" s="111">
        <v>1</v>
      </c>
      <c r="D18" s="111">
        <v>1</v>
      </c>
      <c r="E18" s="111">
        <f t="shared" si="0"/>
        <v>1</v>
      </c>
      <c r="F18" s="111" t="s">
        <v>343</v>
      </c>
    </row>
    <row r="19" spans="1:6" x14ac:dyDescent="0.25">
      <c r="A19" s="106"/>
      <c r="B19" s="106"/>
      <c r="C19" s="106"/>
      <c r="D19" s="106"/>
      <c r="E19" s="106"/>
      <c r="F19" s="106"/>
    </row>
    <row r="20" spans="1:6" x14ac:dyDescent="0.25">
      <c r="A20" s="112" t="s">
        <v>346</v>
      </c>
      <c r="B20" s="112"/>
      <c r="C20" s="112"/>
      <c r="D20" s="112"/>
      <c r="E20" s="112"/>
      <c r="F20" s="112"/>
    </row>
    <row r="21" spans="1:6" x14ac:dyDescent="0.25">
      <c r="A21" s="113" t="s">
        <v>347</v>
      </c>
      <c r="B21" s="113" t="s">
        <v>348</v>
      </c>
      <c r="C21" s="113" t="s">
        <v>349</v>
      </c>
      <c r="D21" s="113" t="s">
        <v>350</v>
      </c>
      <c r="E21" s="113"/>
      <c r="F21" s="113"/>
    </row>
    <row r="22" spans="1:6" ht="24" x14ac:dyDescent="0.25">
      <c r="A22" s="114">
        <v>1</v>
      </c>
      <c r="B22" s="115" t="s">
        <v>351</v>
      </c>
      <c r="C22" s="115" t="s">
        <v>352</v>
      </c>
      <c r="D22" s="115" t="s">
        <v>353</v>
      </c>
      <c r="E22" s="115"/>
      <c r="F22" s="115"/>
    </row>
    <row r="23" spans="1:6" x14ac:dyDescent="0.25">
      <c r="A23" s="116">
        <v>2</v>
      </c>
      <c r="B23" s="117" t="s">
        <v>354</v>
      </c>
      <c r="C23" s="117" t="s">
        <v>355</v>
      </c>
      <c r="D23" s="117" t="s">
        <v>356</v>
      </c>
      <c r="E23" s="117"/>
      <c r="F23" s="117"/>
    </row>
    <row r="24" spans="1:6" ht="24" x14ac:dyDescent="0.25">
      <c r="A24" s="114">
        <v>3</v>
      </c>
      <c r="B24" s="115" t="s">
        <v>357</v>
      </c>
      <c r="C24" s="115" t="s">
        <v>358</v>
      </c>
      <c r="D24" s="115" t="s">
        <v>359</v>
      </c>
      <c r="E24" s="115"/>
      <c r="F24" s="115"/>
    </row>
    <row r="25" spans="1:6" ht="24" x14ac:dyDescent="0.25">
      <c r="A25" s="116">
        <v>4</v>
      </c>
      <c r="B25" s="117" t="s">
        <v>360</v>
      </c>
      <c r="C25" s="117" t="s">
        <v>361</v>
      </c>
      <c r="D25" s="117" t="s">
        <v>362</v>
      </c>
      <c r="E25" s="117"/>
      <c r="F25" s="117"/>
    </row>
    <row r="26" spans="1:6" ht="36" x14ac:dyDescent="0.25">
      <c r="A26" s="114">
        <v>5</v>
      </c>
      <c r="B26" s="115" t="s">
        <v>363</v>
      </c>
      <c r="C26" s="115" t="s">
        <v>364</v>
      </c>
      <c r="D26" s="115" t="s">
        <v>365</v>
      </c>
      <c r="E26" s="115"/>
      <c r="F26" s="115"/>
    </row>
    <row r="27" spans="1:6" ht="15.75" customHeight="1" x14ac:dyDescent="0.25"/>
  </sheetData>
  <mergeCells count="4">
    <mergeCell ref="A1:F1"/>
    <mergeCell ref="A2:F2"/>
    <mergeCell ref="A20:F20"/>
    <mergeCell ref="A21:F21"/>
  </mergeCells>
  <conditionalFormatting sqref="F4:F18">
    <cfRule type="containsText" dxfId="2" priority="2" operator="containsText" text="🔴 Alta">
      <formula>NOT(ISERROR(SEARCH("🔴 Alta",F4)))</formula>
    </cfRule>
    <cfRule type="containsText" dxfId="1" priority="3" operator="containsText" text="🟡 Média">
      <formula>NOT(ISERROR(SEARCH("🟡 Média",F4)))</formula>
    </cfRule>
    <cfRule type="containsText" dxfId="0" priority="4" operator="containsText" text="🟢 Baixa">
      <formula>NOT(ISERROR(SEARCH("🟢 Baixa",F4)))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📋 Instruções</vt:lpstr>
      <vt:lpstr>Matriz de Pontuação</vt:lpstr>
      <vt:lpstr>📊 Capacidade</vt:lpstr>
      <vt:lpstr>🏛 Processos</vt:lpstr>
      <vt:lpstr>🗓 Etapas</vt:lpstr>
      <vt:lpstr>Prioridades GUT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Samuel Gomes</cp:lastModifiedBy>
  <cp:revision>0</cp:revision>
  <dcterms:created xsi:type="dcterms:W3CDTF">2026-04-21T13:54:29Z</dcterms:created>
  <dcterms:modified xsi:type="dcterms:W3CDTF">2026-05-02T12:52:20Z</dcterms:modified>
  <dc:language>en-US</dc:language>
</cp:coreProperties>
</file>