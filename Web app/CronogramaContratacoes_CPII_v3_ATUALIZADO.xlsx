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muel Gomes\Desktop\Dashboard - LIC\Web app\"/>
    </mc:Choice>
  </mc:AlternateContent>
  <xr:revisionPtr revIDLastSave="0" documentId="13_ncr:1_{6DFAC59D-9F84-403A-9E9F-3EE413D75FB5}" xr6:coauthVersionLast="47" xr6:coauthVersionMax="47" xr10:uidLastSave="{00000000-0000-0000-0000-000000000000}"/>
  <bookViews>
    <workbookView xWindow="-20610" yWindow="4440" windowWidth="20730" windowHeight="11160" tabRatio="500" xr2:uid="{00000000-000D-0000-FFFF-FFFF00000000}"/>
  </bookViews>
  <sheets>
    <sheet name="📊 Capacidade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  <c r="J16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E9" i="2"/>
  <c r="B9" i="2"/>
  <c r="C8" i="2"/>
  <c r="D8" i="2" s="1"/>
  <c r="C7" i="2"/>
  <c r="D7" i="2" s="1"/>
  <c r="F7" i="2" s="1"/>
  <c r="C6" i="2"/>
  <c r="D6" i="2" s="1"/>
  <c r="C5" i="2"/>
  <c r="C9" i="2" s="1"/>
  <c r="D5" i="2" l="1"/>
  <c r="H5" i="2" s="1"/>
  <c r="H8" i="2"/>
  <c r="G8" i="2"/>
  <c r="F8" i="2"/>
  <c r="G6" i="2"/>
  <c r="F6" i="2"/>
  <c r="H6" i="2"/>
  <c r="G7" i="2"/>
  <c r="F5" i="2"/>
  <c r="H7" i="2"/>
  <c r="D9" i="2"/>
  <c r="G5" i="2" l="1"/>
  <c r="F9" i="2"/>
  <c r="D11" i="2"/>
  <c r="C11" i="2"/>
  <c r="B11" i="2"/>
  <c r="G9" i="2"/>
</calcChain>
</file>

<file path=xl/sharedStrings.xml><?xml version="1.0" encoding="utf-8"?>
<sst xmlns="http://schemas.openxmlformats.org/spreadsheetml/2006/main" count="137" uniqueCount="67">
  <si>
    <t>PAINEL DE CAPACIDADE — SETOR DE LICITAÇÕES (SEL / CPII)</t>
  </si>
  <si>
    <t>RESUMO POR SERVIDOR</t>
  </si>
  <si>
    <t>Servidor</t>
  </si>
  <si>
    <t>Outros (fixo) ◄</t>
  </si>
  <si>
    <t>Processos (soma)</t>
  </si>
  <si>
    <t>Total</t>
  </si>
  <si>
    <t>Teto</t>
  </si>
  <si>
    <t>Saldo</t>
  </si>
  <si>
    <t>% Ocupado</t>
  </si>
  <si>
    <t>Status</t>
  </si>
  <si>
    <t>AMANDA</t>
  </si>
  <si>
    <t>BEATRIZ</t>
  </si>
  <si>
    <t>BRUNO</t>
  </si>
  <si>
    <t>SAMUEL</t>
  </si>
  <si>
    <t>TOTAL DO SETOR</t>
  </si>
  <si>
    <t>STATUS DE CAPACIDADE DO SETOR</t>
  </si>
  <si>
    <t>Ocupação do Setor</t>
  </si>
  <si>
    <t>REGISTRO DE PROCESSOS ATIVOS — Colunas amarelas (◄) são editáveis. ProcessoID, Ativo e Fase da Carga são gerenciados pelo menu 📊 Painel SEL.</t>
  </si>
  <si>
    <t>Pontuação: Modalidade — Dispensa=1, Inexig=2, Pregão/Conc=3  |  Natureza — Comum=0, TIC=+1, Especiais=+2, MO Ded=+3, Obras=+3  |  Sessão — Nenhuma=0, Disp.Eletr=+1, Pregão/Conc=+2  |  IRP — ≤10=+0,5 / ≤25=+1 / ≤50=+1,5 / ≥100=+2</t>
  </si>
  <si>
    <t>Servidor ◄</t>
  </si>
  <si>
    <t>Processo / Objeto ◄</t>
  </si>
  <si>
    <t>ProcessoID</t>
  </si>
  <si>
    <t>Ativo</t>
  </si>
  <si>
    <t>Modalidade ◄</t>
  </si>
  <si>
    <t>Fase da Carga</t>
  </si>
  <si>
    <t>Mod (pts) ◄</t>
  </si>
  <si>
    <t>Nat (pts) ◄</t>
  </si>
  <si>
    <t>Sess (pts) ◄</t>
  </si>
  <si>
    <t>← Edite os campos com ◄   |   ProcessoID / Ativo / Fase são atualizados automaticamente pelo novoProcesso() e pelo menu Capacidade</t>
  </si>
  <si>
    <t>Pregão – Aquisição de Materiais Esportivos</t>
  </si>
  <si>
    <t>SEL-2026-001</t>
  </si>
  <si>
    <t>Sim</t>
  </si>
  <si>
    <t>Pregão Eletrônico</t>
  </si>
  <si>
    <t>Fase Interna</t>
  </si>
  <si>
    <t>Não</t>
  </si>
  <si>
    <t>Fase Externa</t>
  </si>
  <si>
    <t>Pregão – Gêneros Alimentícios</t>
  </si>
  <si>
    <t>SEL-2026-002</t>
  </si>
  <si>
    <t>Pregão TIC – Microsoft</t>
  </si>
  <si>
    <t>SEL-2026-004</t>
  </si>
  <si>
    <t>Pregão – Serviços de Vigilância</t>
  </si>
  <si>
    <t>SEL-2026-005</t>
  </si>
  <si>
    <t>Contratação Direta – Abastecimento água/esgoto</t>
  </si>
  <si>
    <t>SEL-2026-010</t>
  </si>
  <si>
    <t>Contratação Direta</t>
  </si>
  <si>
    <t>Dispensa – Medição de Decibéis</t>
  </si>
  <si>
    <t>SEL-2026-011</t>
  </si>
  <si>
    <t>Dispensa Eletrônica</t>
  </si>
  <si>
    <t>Pregão – Materiais Gráficos e Personalizados</t>
  </si>
  <si>
    <t>SEL-2026-013</t>
  </si>
  <si>
    <t>Pregão – Sonorização e Filmagem (compartilhado)</t>
  </si>
  <si>
    <t>SEL-2026-014</t>
  </si>
  <si>
    <t>Pregão – Serviços de Sonorização</t>
  </si>
  <si>
    <t>SEL-2026-017</t>
  </si>
  <si>
    <t>Pregão – Reprodução e Encadernação</t>
  </si>
  <si>
    <t>SEL-2026-018</t>
  </si>
  <si>
    <t>LEGENDA DE STATUS DE CAPACIDADE DO SETOR</t>
  </si>
  <si>
    <t>🟢 Disponível</t>
  </si>
  <si>
    <t>&lt; 60%</t>
  </si>
  <si>
    <t>Setor com folga — pode absorver novos processos normalmente</t>
  </si>
  <si>
    <t>🟡 Limitada</t>
  </si>
  <si>
    <t>60–89%</t>
  </si>
  <si>
    <t>Capacidade reduzida — avaliar antes de aceitar novos processos</t>
  </si>
  <si>
    <t>🔴 Máxima</t>
  </si>
  <si>
    <t>≥ 90%</t>
  </si>
  <si>
    <t>Setor no limite — priorizar conclusão de processos em andamento</t>
  </si>
  <si>
    <t>Teto individual: 8 pts  |  SUMIFS soma apenas Ativo="Sim" |  ProcessoID / Ativo / Fase da Carga são gerenciados pelo menu 📊 Painel 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</si>
</sst>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E293B"/>
      <name val="Arial"/>
      <charset val="1"/>
    </font>
    <font>
      <b/>
      <sz val="10"/>
      <color rgb="FF1E293B"/>
      <name val="Arial"/>
      <charset val="1"/>
    </font>
    <font>
      <b/>
      <sz val="8"/>
      <color rgb="FFFFFFFF"/>
      <name val="Arial"/>
      <charset val="1"/>
    </font>
    <font>
      <i/>
      <sz val="9"/>
      <color rgb="FF1E293B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374151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FFDE7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FFF9C4"/>
        <bgColor rgb="FFFEF9C3"/>
      </patternFill>
    </fill>
    <fill>
      <patternFill patternType="solid">
        <fgColor rgb="FFFEE2E2"/>
        <bgColor rgb="FFFFF3E0"/>
      </patternFill>
    </fill>
    <fill>
      <patternFill patternType="solid">
        <fgColor rgb="FFE2E8F0"/>
        <bgColor rgb="FFDBEAFE"/>
      </patternFill>
    </fill>
    <fill>
      <patternFill patternType="solid">
        <fgColor rgb="FF374151"/>
        <bgColor rgb="FF1B3A6B"/>
      </patternFill>
    </fill>
    <fill>
      <patternFill patternType="solid">
        <fgColor rgb="FFFFFDE7"/>
        <bgColor rgb="FFFFF3E0"/>
      </patternFill>
    </fill>
    <fill>
      <patternFill patternType="solid">
        <fgColor rgb="FFD1FAE5"/>
        <bgColor rgb="FFDBEAFE"/>
      </patternFill>
    </fill>
    <fill>
      <patternFill patternType="solid">
        <fgColor rgb="FFFFF3E0"/>
        <bgColor rgb="FFFFFDE7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9" fontId="0" fillId="0" borderId="0" xfId="0" applyNumberFormat="1"/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/>
    <xf numFmtId="0" fontId="6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9" fontId="5" fillId="14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10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51">
    <dxf>
      <fill>
        <patternFill patternType="solid">
          <fgColor rgb="FFDBEAFE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1F5F9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808080"/>
      <rgbColor rgb="FF9999FF"/>
      <rgbColor rgb="FF993366"/>
      <rgbColor rgb="FFFFF9C4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EF9C3"/>
      <rgbColor rgb="FFF1F5F9"/>
      <rgbColor rgb="FFFFF3E0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7415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E65478-7CB3-4085-9A76-958C649F6A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d9949fb-2a7c-4928-8b47-3724506b8ff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tabSelected="1" topLeftCell="A10" zoomScaleNormal="100" workbookViewId="0">
      <selection activeCell="L12" sqref="L12"/>
    </sheetView>
  </sheetViews>
  <sheetFormatPr defaultColWidth="8.7109375" defaultRowHeight="15" x14ac:dyDescent="0.25"/>
  <cols>
    <col min="1" max="1" width="18.7109375" customWidth="1"/>
    <col min="2" max="2" width="22" customWidth="1"/>
    <col min="3" max="3" width="25" customWidth="1"/>
    <col min="4" max="4" width="12" customWidth="1"/>
    <col min="5" max="5" width="15.140625" customWidth="1"/>
    <col min="6" max="6" width="12.28515625" customWidth="1"/>
    <col min="7" max="7" width="11" customWidth="1"/>
    <col min="8" max="8" width="12" customWidth="1"/>
    <col min="9" max="9" width="18" customWidth="1"/>
    <col min="10" max="10" width="9" customWidth="1"/>
    <col min="16384" max="16384" width="11.5703125" customWidth="1"/>
  </cols>
  <sheetData>
    <row r="1" spans="1:10" ht="27.75" customHeight="1" x14ac:dyDescent="0.25">
      <c r="A1" s="26" t="s">
        <v>0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13.9" customHeight="1" x14ac:dyDescent="0.25">
      <c r="A2" s="25" t="s">
        <v>66</v>
      </c>
      <c r="B2" s="23"/>
      <c r="C2" s="23"/>
      <c r="D2" s="23"/>
      <c r="E2" s="23"/>
      <c r="F2" s="23"/>
      <c r="G2" s="23"/>
      <c r="H2" s="23"/>
      <c r="I2" s="23"/>
      <c r="J2" s="24"/>
    </row>
    <row r="3" spans="1:10" ht="13.9" customHeight="1" x14ac:dyDescent="0.25">
      <c r="A3" s="22" t="s">
        <v>1</v>
      </c>
      <c r="B3" s="23"/>
      <c r="C3" s="23"/>
      <c r="D3" s="23"/>
      <c r="E3" s="23"/>
      <c r="F3" s="23"/>
      <c r="G3" s="23"/>
      <c r="H3" s="23"/>
      <c r="I3" s="23"/>
      <c r="J3" s="24"/>
    </row>
    <row r="4" spans="1:10" ht="13.9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10" ht="13.9" customHeight="1" x14ac:dyDescent="0.25">
      <c r="A5" s="33" t="s">
        <v>10</v>
      </c>
      <c r="B5" s="34">
        <v>3</v>
      </c>
      <c r="C5" s="34">
        <f>SUMIFS($J$19:$J$301,$A$19:$A$301,A5,$D$19:$D$301,"Sim")</f>
        <v>11</v>
      </c>
      <c r="D5" s="34">
        <f>B5+C5</f>
        <v>14</v>
      </c>
      <c r="E5" s="34">
        <v>8</v>
      </c>
      <c r="F5" s="34">
        <f>E5-D5</f>
        <v>-6</v>
      </c>
      <c r="G5" s="35">
        <f>D5/E5</f>
        <v>1.75</v>
      </c>
      <c r="H5" s="4" t="str">
        <f>IF(D5/E5&gt;=0.9,"⛔ Crítico",IF(D5/E5&gt;=0.6,"⚠ Atenção","✅ Disponível"))</f>
        <v>⛔ Crítico</v>
      </c>
    </row>
    <row r="6" spans="1:10" ht="13.9" customHeight="1" x14ac:dyDescent="0.25">
      <c r="A6" s="33" t="s">
        <v>11</v>
      </c>
      <c r="B6" s="34">
        <v>0</v>
      </c>
      <c r="C6" s="34">
        <f>SUMIFS($J$16:$J$301,$A$16:$A$301,A6,$D$16:$D$301,"Sim")</f>
        <v>12.5</v>
      </c>
      <c r="D6" s="34">
        <f>B6+C6</f>
        <v>12.5</v>
      </c>
      <c r="E6" s="34">
        <v>8</v>
      </c>
      <c r="F6" s="34">
        <f>E6-D6</f>
        <v>-4.5</v>
      </c>
      <c r="G6" s="35">
        <f>D6/E6</f>
        <v>1.5625</v>
      </c>
      <c r="H6" s="4" t="str">
        <f>IF(D6/E6&gt;=0.9,"⛔ Crítico",IF(D6/E6&gt;=0.6,"⚠ Atenção","✅ Disponível"))</f>
        <v>⛔ Crítico</v>
      </c>
    </row>
    <row r="7" spans="1:10" ht="13.9" customHeight="1" x14ac:dyDescent="0.25">
      <c r="A7" s="33" t="s">
        <v>12</v>
      </c>
      <c r="B7" s="34">
        <v>0</v>
      </c>
      <c r="C7" s="34">
        <f>SUMIFS($J$16:$J$301,$A$16:$A$301,A7,$D$16:$D$301,"Sim")</f>
        <v>13</v>
      </c>
      <c r="D7" s="34">
        <f>B7+C7</f>
        <v>13</v>
      </c>
      <c r="E7" s="34">
        <v>8</v>
      </c>
      <c r="F7" s="34">
        <f>E7-D7</f>
        <v>-5</v>
      </c>
      <c r="G7" s="35">
        <f>D7/E7</f>
        <v>1.625</v>
      </c>
      <c r="H7" s="4" t="str">
        <f>IF(D7/E7&gt;=0.9,"⛔ Crítico",IF(D7/E7&gt;=0.6,"⚠ Atenção","✅ Disponível"))</f>
        <v>⛔ Crítico</v>
      </c>
    </row>
    <row r="8" spans="1:10" ht="13.9" customHeight="1" x14ac:dyDescent="0.25">
      <c r="A8" s="33" t="s">
        <v>13</v>
      </c>
      <c r="B8" s="34">
        <v>2</v>
      </c>
      <c r="C8" s="34">
        <f>SUMIFS($J$16:$J$301,$A$16:$A$301,A8,$D$16:$D$301,"Sim")</f>
        <v>6</v>
      </c>
      <c r="D8" s="34">
        <f>B8+C8</f>
        <v>8</v>
      </c>
      <c r="E8" s="34">
        <v>8</v>
      </c>
      <c r="F8" s="34">
        <f>E8-D8</f>
        <v>0</v>
      </c>
      <c r="G8" s="35">
        <f>D8/E8</f>
        <v>1</v>
      </c>
      <c r="H8" s="4" t="str">
        <f>IF(D8/E8&gt;=0.9,"⛔ Crítico",IF(D8/E8&gt;=0.6,"⚠ Atenção","✅ Disponível"))</f>
        <v>⛔ Crítico</v>
      </c>
    </row>
    <row r="9" spans="1:10" ht="13.9" customHeight="1" x14ac:dyDescent="0.25">
      <c r="A9" s="5" t="s">
        <v>14</v>
      </c>
      <c r="B9" s="6">
        <f>SUM(B5:B8)</f>
        <v>5</v>
      </c>
      <c r="C9" s="6">
        <f>SUM(C5:C8)</f>
        <v>42.5</v>
      </c>
      <c r="D9" s="6">
        <f>SUM(D5:D8)</f>
        <v>47.5</v>
      </c>
      <c r="E9" s="6">
        <f>SUM(E5:E8)</f>
        <v>32</v>
      </c>
      <c r="F9" s="6">
        <f>SUM(F5:F8)</f>
        <v>-15.5</v>
      </c>
      <c r="G9" s="35">
        <f>D9/E9</f>
        <v>1.484375</v>
      </c>
    </row>
    <row r="10" spans="1:10" ht="13.9" customHeight="1" x14ac:dyDescent="0.25">
      <c r="A10" s="22" t="s">
        <v>15</v>
      </c>
      <c r="B10" s="23"/>
      <c r="C10" s="23"/>
      <c r="D10" s="23"/>
      <c r="E10" s="23"/>
      <c r="F10" s="23"/>
      <c r="G10" s="23"/>
      <c r="H10" s="23"/>
      <c r="I10" s="23"/>
      <c r="J10" s="24"/>
    </row>
    <row r="11" spans="1:10" ht="17.850000000000001" customHeight="1" x14ac:dyDescent="0.25">
      <c r="A11" s="5" t="s">
        <v>16</v>
      </c>
      <c r="B11" s="7">
        <f>D9/E9</f>
        <v>1.484375</v>
      </c>
      <c r="C11" s="8" t="str">
        <f>IF(D9/E9&gt;=0.9,"🔴 Máxima",IF(D9/E9&gt;=0.6,"🟡 Limitada","🟢 Disponível"))</f>
        <v>🔴 Máxima</v>
      </c>
      <c r="D11" s="30" t="str">
        <f>IF(D9/E9&gt;=0.9,"Setor no limite — priorizar conclusão de processos em andamento",IF(D9/E9&gt;=0.6,"Capacidade reduzida — avaliar antes de aceitar novos processos","Setor com folga — pode absorver novos processos normalmente"))</f>
        <v>Setor no limite — priorizar conclusão de processos em andamento</v>
      </c>
      <c r="E11" s="23"/>
      <c r="F11" s="23"/>
      <c r="G11" s="23"/>
      <c r="H11" s="23"/>
      <c r="I11" s="23"/>
      <c r="J11" s="24"/>
    </row>
    <row r="12" spans="1:10" ht="19.350000000000001" customHeight="1" x14ac:dyDescent="0.25">
      <c r="A12" s="25" t="s">
        <v>17</v>
      </c>
      <c r="B12" s="23"/>
      <c r="C12" s="23"/>
      <c r="D12" s="23"/>
      <c r="E12" s="23"/>
      <c r="F12" s="23"/>
      <c r="G12" s="23"/>
      <c r="H12" s="23"/>
      <c r="I12" s="23"/>
      <c r="J12" s="24"/>
    </row>
    <row r="13" spans="1:10" ht="17.25" customHeight="1" x14ac:dyDescent="0.25">
      <c r="A13" s="31" t="s">
        <v>18</v>
      </c>
      <c r="B13" s="23"/>
      <c r="C13" s="23"/>
      <c r="D13" s="23"/>
      <c r="E13" s="23"/>
      <c r="F13" s="23"/>
      <c r="G13" s="23"/>
      <c r="H13" s="23"/>
      <c r="I13" s="23"/>
      <c r="J13" s="24"/>
    </row>
    <row r="14" spans="1:10" ht="30" customHeigh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  <c r="G14" s="9" t="s">
        <v>25</v>
      </c>
      <c r="H14" s="9" t="s">
        <v>26</v>
      </c>
      <c r="I14" s="9" t="s">
        <v>27</v>
      </c>
      <c r="J14" s="9" t="s">
        <v>5</v>
      </c>
    </row>
    <row r="15" spans="1:10" ht="13.9" customHeight="1" x14ac:dyDescent="0.25">
      <c r="A15" s="28" t="s">
        <v>28</v>
      </c>
      <c r="B15" s="23"/>
      <c r="C15" s="23"/>
      <c r="D15" s="23"/>
      <c r="E15" s="23"/>
      <c r="F15" s="23"/>
      <c r="G15" s="23"/>
      <c r="H15" s="23"/>
      <c r="I15" s="23"/>
      <c r="J15" s="24"/>
    </row>
    <row r="16" spans="1:10" ht="26.85" customHeight="1" x14ac:dyDescent="0.25">
      <c r="A16" s="10" t="s">
        <v>11</v>
      </c>
      <c r="B16" s="36" t="s">
        <v>29</v>
      </c>
      <c r="C16" s="11" t="s">
        <v>30</v>
      </c>
      <c r="D16" s="12" t="s">
        <v>31</v>
      </c>
      <c r="E16" s="38" t="s">
        <v>32</v>
      </c>
      <c r="F16" s="13" t="s">
        <v>33</v>
      </c>
      <c r="G16" s="14">
        <v>3</v>
      </c>
      <c r="H16" s="14">
        <v>1.5</v>
      </c>
      <c r="I16" s="14">
        <v>0</v>
      </c>
      <c r="J16" s="11">
        <f>SUM(G16,H16,I16)</f>
        <v>4.5</v>
      </c>
    </row>
    <row r="17" spans="1:10" ht="20.100000000000001" customHeight="1" x14ac:dyDescent="0.25">
      <c r="A17" s="10" t="s">
        <v>12</v>
      </c>
      <c r="B17" s="36" t="s">
        <v>29</v>
      </c>
      <c r="C17" s="11" t="s">
        <v>30</v>
      </c>
      <c r="D17" s="15" t="s">
        <v>34</v>
      </c>
      <c r="E17" s="38" t="s">
        <v>32</v>
      </c>
      <c r="F17" s="11" t="s">
        <v>35</v>
      </c>
      <c r="G17" s="14">
        <v>3</v>
      </c>
      <c r="H17" s="14">
        <v>2</v>
      </c>
      <c r="I17" s="14">
        <v>2</v>
      </c>
      <c r="J17" s="11">
        <f t="shared" ref="J16:J31" si="0">SUM(G17,H17,I17)</f>
        <v>7</v>
      </c>
    </row>
    <row r="18" spans="1:10" ht="26.1" customHeight="1" x14ac:dyDescent="0.25">
      <c r="A18" s="10" t="s">
        <v>12</v>
      </c>
      <c r="B18" s="36" t="s">
        <v>36</v>
      </c>
      <c r="C18" s="11" t="s">
        <v>37</v>
      </c>
      <c r="D18" s="12" t="s">
        <v>31</v>
      </c>
      <c r="E18" s="38" t="s">
        <v>32</v>
      </c>
      <c r="F18" s="13" t="s">
        <v>33</v>
      </c>
      <c r="G18" s="14">
        <v>3</v>
      </c>
      <c r="H18" s="14">
        <v>0</v>
      </c>
      <c r="I18" s="14">
        <v>1</v>
      </c>
      <c r="J18" s="11">
        <f t="shared" si="0"/>
        <v>4</v>
      </c>
    </row>
    <row r="19" spans="1:10" ht="25.35" customHeight="1" x14ac:dyDescent="0.25">
      <c r="A19" s="10" t="s">
        <v>10</v>
      </c>
      <c r="B19" s="36" t="s">
        <v>36</v>
      </c>
      <c r="C19" s="11" t="s">
        <v>37</v>
      </c>
      <c r="D19" s="15" t="s">
        <v>34</v>
      </c>
      <c r="E19" s="38" t="s">
        <v>32</v>
      </c>
      <c r="F19" s="11" t="s">
        <v>35</v>
      </c>
      <c r="G19" s="14">
        <v>3</v>
      </c>
      <c r="H19" s="14">
        <v>2</v>
      </c>
      <c r="I19" s="14">
        <v>0</v>
      </c>
      <c r="J19" s="11">
        <f t="shared" si="0"/>
        <v>5</v>
      </c>
    </row>
    <row r="20" spans="1:10" ht="20.100000000000001" customHeight="1" x14ac:dyDescent="0.25">
      <c r="A20" s="10" t="s">
        <v>11</v>
      </c>
      <c r="B20" s="36" t="s">
        <v>38</v>
      </c>
      <c r="C20" s="11" t="s">
        <v>39</v>
      </c>
      <c r="D20" s="12" t="s">
        <v>31</v>
      </c>
      <c r="E20" s="38" t="s">
        <v>32</v>
      </c>
      <c r="F20" s="13" t="s">
        <v>33</v>
      </c>
      <c r="G20" s="14">
        <v>3</v>
      </c>
      <c r="H20" s="14">
        <v>2</v>
      </c>
      <c r="I20" s="14">
        <v>0</v>
      </c>
      <c r="J20" s="11">
        <f t="shared" si="0"/>
        <v>5</v>
      </c>
    </row>
    <row r="21" spans="1:10" ht="22.35" customHeight="1" x14ac:dyDescent="0.25">
      <c r="A21" s="10" t="s">
        <v>10</v>
      </c>
      <c r="B21" s="36" t="s">
        <v>40</v>
      </c>
      <c r="C21" s="11" t="s">
        <v>41</v>
      </c>
      <c r="D21" s="12" t="s">
        <v>31</v>
      </c>
      <c r="E21" s="38" t="s">
        <v>32</v>
      </c>
      <c r="F21" s="13" t="s">
        <v>33</v>
      </c>
      <c r="G21" s="14">
        <v>3</v>
      </c>
      <c r="H21" s="14">
        <v>4.5</v>
      </c>
      <c r="I21" s="14">
        <v>0</v>
      </c>
      <c r="J21" s="11">
        <f t="shared" si="0"/>
        <v>7.5</v>
      </c>
    </row>
    <row r="22" spans="1:10" ht="23.1" customHeight="1" x14ac:dyDescent="0.25">
      <c r="A22" s="10" t="s">
        <v>11</v>
      </c>
      <c r="B22" s="36" t="s">
        <v>40</v>
      </c>
      <c r="C22" s="11" t="s">
        <v>41</v>
      </c>
      <c r="D22" s="15" t="s">
        <v>34</v>
      </c>
      <c r="E22" s="38" t="s">
        <v>32</v>
      </c>
      <c r="F22" s="11" t="s">
        <v>35</v>
      </c>
      <c r="G22" s="14">
        <v>3</v>
      </c>
      <c r="H22" s="14">
        <v>2</v>
      </c>
      <c r="I22" s="14">
        <v>2</v>
      </c>
      <c r="J22" s="11">
        <f t="shared" si="0"/>
        <v>7</v>
      </c>
    </row>
    <row r="23" spans="1:10" ht="22.35" customHeight="1" x14ac:dyDescent="0.25">
      <c r="A23" s="10" t="s">
        <v>13</v>
      </c>
      <c r="B23" s="36" t="s">
        <v>42</v>
      </c>
      <c r="C23" s="11" t="s">
        <v>43</v>
      </c>
      <c r="D23" s="12" t="s">
        <v>31</v>
      </c>
      <c r="E23" s="38" t="s">
        <v>44</v>
      </c>
      <c r="F23" s="13" t="s">
        <v>33</v>
      </c>
      <c r="G23" s="14">
        <v>3</v>
      </c>
      <c r="H23" s="14">
        <v>0</v>
      </c>
      <c r="I23" s="14">
        <v>0</v>
      </c>
      <c r="J23" s="11">
        <f t="shared" si="0"/>
        <v>3</v>
      </c>
    </row>
    <row r="24" spans="1:10" ht="23.1" customHeight="1" x14ac:dyDescent="0.25">
      <c r="A24" s="10" t="s">
        <v>12</v>
      </c>
      <c r="B24" s="36" t="s">
        <v>45</v>
      </c>
      <c r="C24" s="11" t="s">
        <v>46</v>
      </c>
      <c r="D24" s="12" t="s">
        <v>31</v>
      </c>
      <c r="E24" s="38" t="s">
        <v>47</v>
      </c>
      <c r="F24" s="13" t="s">
        <v>33</v>
      </c>
      <c r="G24" s="14">
        <v>1</v>
      </c>
      <c r="H24" s="14">
        <v>0</v>
      </c>
      <c r="I24" s="14">
        <v>1</v>
      </c>
      <c r="J24" s="11">
        <f t="shared" si="0"/>
        <v>2</v>
      </c>
    </row>
    <row r="25" spans="1:10" ht="25.35" customHeight="1" x14ac:dyDescent="0.25">
      <c r="A25" s="10" t="s">
        <v>12</v>
      </c>
      <c r="B25" s="36" t="s">
        <v>48</v>
      </c>
      <c r="C25" s="11" t="s">
        <v>49</v>
      </c>
      <c r="D25" s="12" t="s">
        <v>31</v>
      </c>
      <c r="E25" s="38" t="s">
        <v>32</v>
      </c>
      <c r="F25" s="11" t="s">
        <v>35</v>
      </c>
      <c r="G25" s="14">
        <v>3</v>
      </c>
      <c r="H25" s="14">
        <v>0</v>
      </c>
      <c r="I25" s="14">
        <v>4</v>
      </c>
      <c r="J25" s="11">
        <f t="shared" si="0"/>
        <v>7</v>
      </c>
    </row>
    <row r="26" spans="1:10" ht="23.1" customHeight="1" x14ac:dyDescent="0.25">
      <c r="A26" s="10" t="s">
        <v>10</v>
      </c>
      <c r="B26" s="36" t="s">
        <v>50</v>
      </c>
      <c r="C26" s="11" t="s">
        <v>51</v>
      </c>
      <c r="D26" s="12" t="s">
        <v>31</v>
      </c>
      <c r="E26" s="38" t="s">
        <v>32</v>
      </c>
      <c r="F26" s="13" t="s">
        <v>33</v>
      </c>
      <c r="G26" s="14">
        <v>3</v>
      </c>
      <c r="H26" s="14">
        <v>0.5</v>
      </c>
      <c r="I26" s="14">
        <v>0</v>
      </c>
      <c r="J26" s="11">
        <f t="shared" si="0"/>
        <v>3.5</v>
      </c>
    </row>
    <row r="27" spans="1:10" ht="23.1" customHeight="1" x14ac:dyDescent="0.25">
      <c r="A27" s="10" t="s">
        <v>13</v>
      </c>
      <c r="B27" s="36" t="s">
        <v>50</v>
      </c>
      <c r="C27" s="11" t="s">
        <v>51</v>
      </c>
      <c r="D27" s="15" t="s">
        <v>34</v>
      </c>
      <c r="E27" s="38" t="s">
        <v>32</v>
      </c>
      <c r="F27" s="11" t="s">
        <v>35</v>
      </c>
      <c r="G27" s="14">
        <v>3</v>
      </c>
      <c r="H27" s="14">
        <v>0.5</v>
      </c>
      <c r="I27" s="14">
        <v>1</v>
      </c>
      <c r="J27" s="11">
        <f t="shared" si="0"/>
        <v>4.5</v>
      </c>
    </row>
    <row r="28" spans="1:10" ht="20.85" customHeight="1" x14ac:dyDescent="0.25">
      <c r="A28" s="10" t="s">
        <v>11</v>
      </c>
      <c r="B28" s="36" t="s">
        <v>52</v>
      </c>
      <c r="C28" s="11" t="s">
        <v>53</v>
      </c>
      <c r="D28" s="12" t="s">
        <v>31</v>
      </c>
      <c r="E28" s="38" t="s">
        <v>32</v>
      </c>
      <c r="F28" s="13" t="s">
        <v>33</v>
      </c>
      <c r="G28" s="14">
        <v>3</v>
      </c>
      <c r="H28" s="14">
        <v>0</v>
      </c>
      <c r="I28" s="14">
        <v>0</v>
      </c>
      <c r="J28" s="11">
        <f t="shared" si="0"/>
        <v>3</v>
      </c>
    </row>
    <row r="29" spans="1:10" ht="25.35" customHeight="1" x14ac:dyDescent="0.25">
      <c r="A29" s="10" t="s">
        <v>13</v>
      </c>
      <c r="B29" s="36" t="s">
        <v>52</v>
      </c>
      <c r="C29" s="11" t="s">
        <v>53</v>
      </c>
      <c r="D29" s="15" t="s">
        <v>34</v>
      </c>
      <c r="E29" s="38" t="s">
        <v>32</v>
      </c>
      <c r="F29" s="11" t="s">
        <v>35</v>
      </c>
      <c r="G29" s="14">
        <v>3</v>
      </c>
      <c r="H29" s="14">
        <v>3</v>
      </c>
      <c r="I29" s="14">
        <v>1</v>
      </c>
      <c r="J29" s="11">
        <f t="shared" si="0"/>
        <v>7</v>
      </c>
    </row>
    <row r="30" spans="1:10" ht="23.1" customHeight="1" x14ac:dyDescent="0.25">
      <c r="A30" s="10" t="s">
        <v>13</v>
      </c>
      <c r="B30" s="36" t="s">
        <v>54</v>
      </c>
      <c r="C30" s="11" t="s">
        <v>55</v>
      </c>
      <c r="D30" s="12" t="s">
        <v>31</v>
      </c>
      <c r="E30" s="38" t="s">
        <v>32</v>
      </c>
      <c r="F30" s="13" t="s">
        <v>33</v>
      </c>
      <c r="G30" s="14">
        <v>3</v>
      </c>
      <c r="H30" s="14">
        <v>0</v>
      </c>
      <c r="I30" s="14">
        <v>0</v>
      </c>
      <c r="J30" s="11">
        <f t="shared" si="0"/>
        <v>3</v>
      </c>
    </row>
    <row r="31" spans="1:10" ht="24.6" customHeight="1" x14ac:dyDescent="0.25">
      <c r="A31" s="10" t="s">
        <v>10</v>
      </c>
      <c r="B31" s="36" t="s">
        <v>54</v>
      </c>
      <c r="C31" s="11" t="s">
        <v>55</v>
      </c>
      <c r="D31" s="15" t="s">
        <v>34</v>
      </c>
      <c r="E31" s="38" t="s">
        <v>32</v>
      </c>
      <c r="F31" s="11" t="s">
        <v>35</v>
      </c>
      <c r="G31" s="14">
        <v>3</v>
      </c>
      <c r="H31" s="14">
        <v>2</v>
      </c>
      <c r="I31" s="14">
        <v>0</v>
      </c>
      <c r="J31" s="11">
        <f>SUM(G31,H31,I31)</f>
        <v>5</v>
      </c>
    </row>
    <row r="32" spans="1:10" ht="13.9" customHeight="1" x14ac:dyDescent="0.25">
      <c r="A32" s="16"/>
      <c r="B32" s="37"/>
      <c r="C32" s="17"/>
      <c r="D32" s="17"/>
      <c r="E32" s="37"/>
      <c r="F32" s="17"/>
      <c r="G32" s="16"/>
      <c r="H32" s="16"/>
      <c r="I32" s="16"/>
      <c r="J32" s="17"/>
    </row>
    <row r="33" spans="1:10" ht="13.9" customHeight="1" x14ac:dyDescent="0.25">
      <c r="A33" s="16"/>
      <c r="B33" s="37"/>
      <c r="C33" s="17"/>
      <c r="D33" s="17"/>
      <c r="E33" s="37"/>
      <c r="F33" s="17"/>
      <c r="G33" s="16"/>
      <c r="H33" s="16"/>
      <c r="I33" s="16"/>
      <c r="J33" s="17"/>
    </row>
    <row r="34" spans="1:10" ht="13.9" customHeight="1" x14ac:dyDescent="0.25">
      <c r="A34" s="16"/>
      <c r="B34" s="37"/>
      <c r="C34" s="17"/>
      <c r="D34" s="17"/>
      <c r="E34" s="37"/>
      <c r="F34" s="17"/>
      <c r="G34" s="16"/>
      <c r="H34" s="16"/>
      <c r="I34" s="16"/>
      <c r="J34" s="17"/>
    </row>
    <row r="35" spans="1:10" ht="13.9" customHeight="1" x14ac:dyDescent="0.25">
      <c r="A35" s="16"/>
      <c r="B35" s="37"/>
      <c r="C35" s="17"/>
      <c r="D35" s="17"/>
      <c r="E35" s="37"/>
      <c r="F35" s="17"/>
      <c r="G35" s="16"/>
      <c r="H35" s="16"/>
      <c r="I35" s="16"/>
      <c r="J35" s="17"/>
    </row>
    <row r="36" spans="1:10" ht="13.9" customHeight="1" x14ac:dyDescent="0.25">
      <c r="A36" s="16"/>
      <c r="B36" s="37"/>
      <c r="C36" s="17"/>
      <c r="D36" s="17"/>
      <c r="E36" s="37"/>
      <c r="F36" s="17"/>
      <c r="G36" s="16"/>
      <c r="H36" s="16"/>
      <c r="I36" s="16"/>
      <c r="J36" s="17"/>
    </row>
    <row r="37" spans="1:10" ht="13.9" customHeight="1" x14ac:dyDescent="0.25">
      <c r="A37" s="16"/>
      <c r="B37" s="37"/>
      <c r="C37" s="17"/>
      <c r="D37" s="17"/>
      <c r="E37" s="37"/>
      <c r="F37" s="17"/>
      <c r="G37" s="16"/>
      <c r="H37" s="16"/>
      <c r="I37" s="16"/>
      <c r="J37" s="17"/>
    </row>
    <row r="39" spans="1:10" ht="13.9" customHeight="1" x14ac:dyDescent="0.25">
      <c r="A39" s="22" t="s">
        <v>56</v>
      </c>
      <c r="B39" s="23"/>
      <c r="C39" s="23"/>
      <c r="D39" s="23"/>
      <c r="E39" s="23"/>
      <c r="F39" s="23"/>
      <c r="G39" s="23"/>
      <c r="H39" s="23"/>
      <c r="I39" s="23"/>
      <c r="J39" s="24"/>
    </row>
    <row r="40" spans="1:10" ht="13.9" customHeight="1" x14ac:dyDescent="0.25">
      <c r="A40" s="18" t="s">
        <v>57</v>
      </c>
      <c r="B40" s="19" t="s">
        <v>58</v>
      </c>
      <c r="C40" s="32" t="s">
        <v>59</v>
      </c>
      <c r="D40" s="23"/>
      <c r="E40" s="23"/>
      <c r="F40" s="23"/>
      <c r="G40" s="23"/>
      <c r="H40" s="23"/>
      <c r="I40" s="23"/>
      <c r="J40" s="24"/>
    </row>
    <row r="41" spans="1:10" ht="13.9" customHeight="1" x14ac:dyDescent="0.25">
      <c r="A41" s="20" t="s">
        <v>60</v>
      </c>
      <c r="B41" s="21" t="s">
        <v>61</v>
      </c>
      <c r="C41" s="29" t="s">
        <v>62</v>
      </c>
      <c r="D41" s="23"/>
      <c r="E41" s="23"/>
      <c r="F41" s="23"/>
      <c r="G41" s="23"/>
      <c r="H41" s="23"/>
      <c r="I41" s="23"/>
      <c r="J41" s="24"/>
    </row>
    <row r="42" spans="1:10" ht="13.9" customHeight="1" x14ac:dyDescent="0.25">
      <c r="A42" s="2" t="s">
        <v>63</v>
      </c>
      <c r="B42" s="3" t="s">
        <v>64</v>
      </c>
      <c r="C42" s="27" t="s">
        <v>65</v>
      </c>
      <c r="D42" s="23"/>
      <c r="E42" s="23"/>
      <c r="F42" s="23"/>
      <c r="G42" s="23"/>
      <c r="H42" s="23"/>
      <c r="I42" s="23"/>
      <c r="J42" s="24"/>
    </row>
  </sheetData>
  <mergeCells count="12">
    <mergeCell ref="A1:J1"/>
    <mergeCell ref="A3:J3"/>
    <mergeCell ref="C42:J42"/>
    <mergeCell ref="A39:J39"/>
    <mergeCell ref="A12:J12"/>
    <mergeCell ref="A15:J15"/>
    <mergeCell ref="C41:J41"/>
    <mergeCell ref="A2:J2"/>
    <mergeCell ref="D11:J11"/>
    <mergeCell ref="A13:J13"/>
    <mergeCell ref="C40:J40"/>
    <mergeCell ref="A10:J10"/>
  </mergeCells>
  <conditionalFormatting sqref="C11:J11">
    <cfRule type="expression" dxfId="50" priority="2">
      <formula>$D$9/$E$9&gt;=0.9</formula>
    </cfRule>
    <cfRule type="expression" dxfId="49" priority="3">
      <formula>AND($D$9/$E$9&gt;=0.6,$D$9/$E$9&lt;0.9)</formula>
    </cfRule>
    <cfRule type="expression" dxfId="48" priority="4">
      <formula>$D$9/$E$9&lt;0.6</formula>
    </cfRule>
    <cfRule type="expression" dxfId="47" priority="5">
      <formula>$D$9/$E$9&gt;=0.9</formula>
    </cfRule>
    <cfRule type="expression" dxfId="46" priority="6">
      <formula>AND($D$9/$E$9&gt;=0.6,$D$9/$E$9&lt;0.9)</formula>
    </cfRule>
    <cfRule type="expression" dxfId="45" priority="7">
      <formula>$D$9/$E$9&lt;0.6</formula>
    </cfRule>
  </conditionalFormatting>
  <conditionalFormatting sqref="G5:H5">
    <cfRule type="expression" dxfId="44" priority="8">
      <formula>$D5/$E5&gt;=0.9</formula>
    </cfRule>
    <cfRule type="expression" dxfId="43" priority="9">
      <formula>AND($D5/$E5&gt;=0.6,$D5/$E5&lt;0.9)</formula>
    </cfRule>
    <cfRule type="expression" dxfId="42" priority="10">
      <formula>$D5/$E5&lt;0.6</formula>
    </cfRule>
    <cfRule type="expression" dxfId="41" priority="11">
      <formula>$D5/$E5&gt;=0.9</formula>
    </cfRule>
    <cfRule type="expression" dxfId="40" priority="12">
      <formula>AND($D5/$E5&gt;=0.6,$D5/$E5&lt;0.9)</formula>
    </cfRule>
    <cfRule type="expression" dxfId="39" priority="13">
      <formula>$D5/$E5&lt;0.6</formula>
    </cfRule>
    <cfRule type="expression" dxfId="38" priority="37">
      <formula>$D5/$E5&gt;=0.9</formula>
    </cfRule>
    <cfRule type="expression" dxfId="37" priority="38">
      <formula>AND($D5/$E5&gt;=0.6,$D5/$E5&lt;0.9)</formula>
    </cfRule>
    <cfRule type="expression" dxfId="36" priority="39">
      <formula>$D5/$E5&lt;0.6</formula>
    </cfRule>
  </conditionalFormatting>
  <conditionalFormatting sqref="G6:H6">
    <cfRule type="expression" dxfId="35" priority="14">
      <formula>$D6/$E6&gt;=0.9</formula>
    </cfRule>
    <cfRule type="expression" dxfId="34" priority="15">
      <formula>AND($D6/$E6&gt;=0.6,$D6/$E6&lt;0.9)</formula>
    </cfRule>
    <cfRule type="expression" dxfId="33" priority="16">
      <formula>$D6/$E6&lt;0.6</formula>
    </cfRule>
    <cfRule type="expression" dxfId="32" priority="17">
      <formula>$D6/$E6&gt;=0.9</formula>
    </cfRule>
    <cfRule type="expression" dxfId="31" priority="18">
      <formula>AND($D6/$E6&gt;=0.6,$D6/$E6&lt;0.9)</formula>
    </cfRule>
    <cfRule type="expression" dxfId="30" priority="19">
      <formula>$D6/$E6&lt;0.6</formula>
    </cfRule>
    <cfRule type="expression" dxfId="29" priority="40">
      <formula>$D6/$E6&gt;=0.9</formula>
    </cfRule>
    <cfRule type="expression" dxfId="28" priority="41">
      <formula>AND($D6/$E6&gt;=0.6,$D6/$E6&lt;0.9)</formula>
    </cfRule>
    <cfRule type="expression" dxfId="27" priority="42">
      <formula>$D6/$E6&lt;0.6</formula>
    </cfRule>
  </conditionalFormatting>
  <conditionalFormatting sqref="G7:H7">
    <cfRule type="expression" dxfId="26" priority="20">
      <formula>$D7/$E7&gt;=0.9</formula>
    </cfRule>
    <cfRule type="expression" dxfId="25" priority="21">
      <formula>AND($D7/$E7&gt;=0.6,$D7/$E7&lt;0.9)</formula>
    </cfRule>
    <cfRule type="expression" dxfId="24" priority="22">
      <formula>$D7/$E7&lt;0.6</formula>
    </cfRule>
    <cfRule type="expression" dxfId="23" priority="23">
      <formula>$D7/$E7&gt;=0.9</formula>
    </cfRule>
    <cfRule type="expression" dxfId="22" priority="24">
      <formula>AND($D7/$E7&gt;=0.6,$D7/$E7&lt;0.9)</formula>
    </cfRule>
    <cfRule type="expression" dxfId="21" priority="25">
      <formula>$D7/$E7&lt;0.6</formula>
    </cfRule>
    <cfRule type="expression" dxfId="20" priority="43">
      <formula>$D7/$E7&gt;=0.9</formula>
    </cfRule>
    <cfRule type="expression" dxfId="19" priority="44">
      <formula>AND($D7/$E7&gt;=0.6,$D7/$E7&lt;0.9)</formula>
    </cfRule>
    <cfRule type="expression" dxfId="18" priority="45">
      <formula>$D7/$E7&lt;0.6</formula>
    </cfRule>
  </conditionalFormatting>
  <conditionalFormatting sqref="G8:H8">
    <cfRule type="expression" dxfId="17" priority="26">
      <formula>$D8/$E8&gt;=0.9</formula>
    </cfRule>
    <cfRule type="expression" dxfId="16" priority="27">
      <formula>AND($D8/$E8&gt;=0.6,$D8/$E8&lt;0.9)</formula>
    </cfRule>
    <cfRule type="expression" dxfId="15" priority="28">
      <formula>$D8/$E8&lt;0.6</formula>
    </cfRule>
    <cfRule type="expression" dxfId="14" priority="29">
      <formula>$D8/$E8&gt;=0.9</formula>
    </cfRule>
    <cfRule type="expression" dxfId="13" priority="30">
      <formula>AND($D8/$E8&gt;=0.6,$D8/$E8&lt;0.9)</formula>
    </cfRule>
    <cfRule type="expression" dxfId="12" priority="31">
      <formula>$D8/$E8&lt;0.6</formula>
    </cfRule>
    <cfRule type="expression" dxfId="11" priority="46">
      <formula>$D8/$E8&gt;=0.9</formula>
    </cfRule>
    <cfRule type="expression" dxfId="10" priority="47">
      <formula>AND($D8/$E8&gt;=0.6,$D8/$E8&lt;0.9)</formula>
    </cfRule>
    <cfRule type="expression" dxfId="9" priority="48">
      <formula>$D8/$E8&lt;0.6</formula>
    </cfRule>
  </conditionalFormatting>
  <conditionalFormatting sqref="G9">
    <cfRule type="expression" dxfId="8" priority="32">
      <formula>$D9/$E9&gt;=0.9</formula>
    </cfRule>
    <cfRule type="expression" dxfId="7" priority="33">
      <formula>AND($D9/$E9&gt;=0.6,$D9/$E9&lt;0.9)</formula>
    </cfRule>
    <cfRule type="expression" dxfId="6" priority="34">
      <formula>$D9/$E9&lt;0.6</formula>
    </cfRule>
  </conditionalFormatting>
  <conditionalFormatting sqref="A11:K11">
    <cfRule type="expression" dxfId="5" priority="49">
      <formula>$D$9/$E$9&gt;=0.9</formula>
    </cfRule>
    <cfRule type="expression" dxfId="4" priority="35">
      <formula>AND($D$9/$E$9&gt;=0.6,$D$9/$E$9&lt;0.9)</formula>
    </cfRule>
    <cfRule type="expression" dxfId="3" priority="36">
      <formula>$D$9/$E$9&lt;0.6</formula>
    </cfRule>
  </conditionalFormatting>
  <conditionalFormatting sqref="A16:K301">
    <cfRule type="expression" dxfId="2" priority="50">
      <formula>$D16="Não"</formula>
    </cfRule>
    <cfRule type="expression" dxfId="1" priority="50">
      <formula>AND($D16="Sim",LOWER($F16)="fase externa")</formula>
    </cfRule>
    <cfRule type="expression" dxfId="0" priority="51">
      <formula>AND($D16="Sim",LOWER($F16)="fase interna")</formula>
    </cfRule>
  </conditionalFormatting>
  <dataValidations count="3">
    <dataValidation type="list" allowBlank="1" showInputMessage="1" showErrorMessage="1" errorTitle="Valor inválido" error="Escolha: Fase Interna, Fase Externa, Concluído ou Suspenso." promptTitle="Fase da Carga" prompt="Selecione a fase atual deste processo para este servidor." sqref="F16:F301" xr:uid="{00000000-0002-0000-0100-000000000000}">
      <formula1>"Fase Interna,Fase Externa,Concluído,Suspenso"</formula1>
    </dataValidation>
    <dataValidation type="list" allowBlank="1" showInputMessage="1" showErrorMessage="1" errorTitle="Servidor inválido" error="Escolha um dos servidores ativos: AMANDA, BEATRIZ, BRUNO ou SAMUEL." promptTitle="Servidor" prompt="Selecione o servidor responsável por este processo/fase." sqref="A16:A301" xr:uid="{00000000-0002-0000-0100-000001000000}">
      <formula1>"AMANDA,BEATRIZ,BRUNO,SAMUEL"</formula1>
    </dataValidation>
    <dataValidation type="list" showInputMessage="1" showErrorMessage="1" errorTitle="Valor inválido" error="Use &quot;Sim&quot; (conta na soma) ou &quot;Não&quot; (ignorado pelo SUMIFS)." promptTitle="Ativo" prompt="&quot;Sim&quot; = conta na capacidade do servidor._x000a_&quot;Não&quot; = fase ainda não iniciada ou já concluída." sqref="D16:D301" xr:uid="{00000000-0002-0000-0100-000002000000}">
      <formula1>"Sim,Não"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📊 Capacidade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Gomes</cp:lastModifiedBy>
  <cp:revision>1</cp:revision>
  <dcterms:created xsi:type="dcterms:W3CDTF">2026-05-12T15:33:43Z</dcterms:created>
  <dcterms:modified xsi:type="dcterms:W3CDTF">2026-05-13T14:21:07Z</dcterms:modified>
  <dc:language>pt-BR</dc:language>
</cp:coreProperties>
</file>